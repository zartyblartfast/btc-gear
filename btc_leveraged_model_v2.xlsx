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Price Projection" sheetId="2" state="visible" r:id="rId2"/>
    <sheet name="Accumulation Engine" sheetId="3" state="visible" r:id="rId3"/>
    <sheet name="Income Engine" sheetId="4" state="visible" r:id="rId4"/>
    <sheet name="Risk Alerts" sheetId="5" state="visible" r:id="rId5"/>
    <sheet name="Summary" sheetId="6" state="visible" r:id="rId6"/>
    <sheet name="Audit Ex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00000"/>
  </numFmts>
  <fonts count="6">
    <font>
      <name val="Calibri"/>
      <family val="2"/>
      <color theme="1"/>
      <sz val="11"/>
      <scheme val="minor"/>
    </font>
    <font>
      <name val="Calibri"/>
      <b val="1"/>
      <color rgb="00023D4B"/>
      <sz val="18"/>
    </font>
    <font>
      <name val="Calibri"/>
      <b val="1"/>
      <color rgb="00FFFFFF"/>
      <sz val="11"/>
    </font>
    <font>
      <name val="Calibri"/>
      <b val="1"/>
      <color rgb="00023D4B"/>
      <sz val="12"/>
    </font>
    <font>
      <name val="Calibri"/>
      <color rgb="00333333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023D4B"/>
        <bgColor rgb="00023D4B"/>
      </patternFill>
    </fill>
    <fill>
      <patternFill patternType="solid">
        <fgColor rgb="00D1ECF1"/>
        <bgColor rgb="00D1ECF1"/>
      </patternFill>
    </fill>
    <fill>
      <patternFill patternType="solid">
        <fgColor rgb="00F6F6F6"/>
        <bgColor rgb="00F6F6F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BTC-Backed Loan Model v2 Inputs</t>
        </is>
      </c>
    </row>
    <row r="2"/>
    <row r="3">
      <c r="A3" s="2" t="inlineStr">
        <is>
          <t>Input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Notes</t>
        </is>
      </c>
    </row>
    <row r="4">
      <c r="A4" s="3" t="inlineStr">
        <is>
          <t>Shared</t>
        </is>
      </c>
    </row>
    <row r="5">
      <c r="A5" s="4" t="inlineStr">
        <is>
          <t>Current BTC Price</t>
        </is>
      </c>
      <c r="B5" s="5" t="n">
        <v>60000</v>
      </c>
      <c r="C5" s="6" t="inlineStr">
        <is>
          <t>USD</t>
        </is>
      </c>
      <c r="D5" s="7" t="inlineStr">
        <is>
          <t>Year 0 price; feeds Price Projection</t>
        </is>
      </c>
    </row>
    <row r="6">
      <c r="A6" s="4" t="inlineStr">
        <is>
          <t>Annual BTC Price Growth</t>
        </is>
      </c>
      <c r="B6" s="8" t="n">
        <v>0</v>
      </c>
      <c r="C6" s="6" t="inlineStr">
        <is>
          <t>%</t>
        </is>
      </c>
      <c r="D6" s="7" t="inlineStr">
        <is>
          <t>Editable flat/default projection growth rate</t>
        </is>
      </c>
    </row>
    <row r="7">
      <c r="A7" s="4" t="inlineStr">
        <is>
          <t>Starting BTC</t>
        </is>
      </c>
      <c r="B7" s="9" t="n">
        <v>2</v>
      </c>
      <c r="C7" s="6" t="inlineStr">
        <is>
          <t>BTC</t>
        </is>
      </c>
      <c r="D7" s="7" t="inlineStr">
        <is>
          <t>Collateral used by both engines</t>
        </is>
      </c>
    </row>
    <row r="8">
      <c r="A8" s="4" t="inlineStr">
        <is>
          <t>Borrow APR</t>
        </is>
      </c>
      <c r="B8" s="8" t="n">
        <v>0.1</v>
      </c>
      <c r="C8" s="6" t="inlineStr">
        <is>
          <t>%</t>
        </is>
      </c>
      <c r="D8" s="7" t="inlineStr">
        <is>
          <t>Interest accrues on start-of-row debt</t>
        </is>
      </c>
    </row>
    <row r="9">
      <c r="A9" s="4" t="inlineStr">
        <is>
          <t>Interest Treatment</t>
        </is>
      </c>
      <c r="B9" s="10" t="inlineStr">
        <is>
          <t>capitalized</t>
        </is>
      </c>
      <c r="C9" s="6" t="inlineStr">
        <is>
          <t>choice</t>
        </is>
      </c>
      <c r="D9" s="7" t="inlineStr">
        <is>
          <t>capitalized or paid externally</t>
        </is>
      </c>
    </row>
    <row r="10">
      <c r="A10" s="4" t="inlineStr">
        <is>
          <t>Margin Call LTV</t>
        </is>
      </c>
      <c r="B10" s="8" t="n">
        <v>0.7</v>
      </c>
      <c r="C10" s="6" t="inlineStr">
        <is>
          <t>%</t>
        </is>
      </c>
      <c r="D10" s="7" t="inlineStr">
        <is>
          <t>Risk threshold</t>
        </is>
      </c>
    </row>
    <row r="11">
      <c r="A11" s="4" t="inlineStr">
        <is>
          <t>Liquidation LTV</t>
        </is>
      </c>
      <c r="B11" s="8" t="n">
        <v>0.75</v>
      </c>
      <c r="C11" s="6" t="inlineStr">
        <is>
          <t>%</t>
        </is>
      </c>
      <c r="D11" s="7" t="inlineStr">
        <is>
          <t>Risk threshold</t>
        </is>
      </c>
    </row>
    <row r="12">
      <c r="A12" s="4" t="inlineStr">
        <is>
          <t>Minimum Liquidation Buffer</t>
        </is>
      </c>
      <c r="B12" s="8" t="n">
        <v>0.5</v>
      </c>
      <c r="C12" s="6" t="inlineStr">
        <is>
          <t>%</t>
        </is>
      </c>
      <c r="D12" s="7" t="inlineStr">
        <is>
          <t>Required price-drop buffer</t>
        </is>
      </c>
    </row>
    <row r="13">
      <c r="A13" s="3" t="inlineStr">
        <is>
          <t>Accumulation</t>
        </is>
      </c>
    </row>
    <row r="14">
      <c r="A14" s="4" t="inlineStr">
        <is>
          <t>Target Effective LTV</t>
        </is>
      </c>
      <c r="B14" s="8" t="n">
        <v>0.25</v>
      </c>
      <c r="C14" s="6" t="inlineStr">
        <is>
          <t>%</t>
        </is>
      </c>
      <c r="D14" s="7" t="inlineStr">
        <is>
          <t>Recursive setup/top-up target</t>
        </is>
      </c>
    </row>
    <row r="15">
      <c r="A15" s="4" t="inlineStr">
        <is>
          <t>Max Effective LTV</t>
        </is>
      </c>
      <c r="B15" s="8" t="n">
        <v>0.35</v>
      </c>
      <c r="C15" s="6" t="inlineStr">
        <is>
          <t>%</t>
        </is>
      </c>
      <c r="D15" s="7" t="inlineStr">
        <is>
          <t>Hard cap</t>
        </is>
      </c>
    </row>
    <row r="16">
      <c r="A16" s="4" t="inlineStr">
        <is>
          <t>Setup Collateral BTC</t>
        </is>
      </c>
      <c r="B16" s="9" t="n">
        <v>2.666666666666667</v>
      </c>
      <c r="C16" s="6" t="inlineStr">
        <is>
          <t>BTC</t>
        </is>
      </c>
      <c r="D16" s="7" t="inlineStr">
        <is>
          <t>Computed audit output</t>
        </is>
      </c>
    </row>
    <row r="17">
      <c r="A17" s="3" t="inlineStr">
        <is>
          <t>Income</t>
        </is>
      </c>
    </row>
    <row r="18">
      <c r="A18" s="4" t="inlineStr">
        <is>
          <t>Max Available Annual Income (Year 1)</t>
        </is>
      </c>
      <c r="B18" s="5" t="n">
        <v>42000</v>
      </c>
      <c r="C18" s="6" t="inlineStr">
        <is>
          <t>USD</t>
        </is>
      </c>
      <c r="D18" s="7" t="inlineStr">
        <is>
          <t>Calculated from BTC collateral, LTV ceiling, and liquidation buffer</t>
        </is>
      </c>
    </row>
    <row r="19">
      <c r="A19" s="4" t="inlineStr">
        <is>
          <t>Selected Annual Income Draw</t>
        </is>
      </c>
      <c r="B19" s="5" t="n">
        <v>50000</v>
      </c>
      <c r="C19" s="6" t="inlineStr">
        <is>
          <t>USD</t>
        </is>
      </c>
      <c r="D19" s="7" t="inlineStr">
        <is>
          <t>User-selected draw; capped by max available annual income</t>
        </is>
      </c>
    </row>
    <row r="20">
      <c r="A20" s="4" t="inlineStr">
        <is>
          <t>Income LTV Ceiling</t>
        </is>
      </c>
      <c r="B20" s="8" t="n">
        <v>0.35</v>
      </c>
      <c r="C20" s="6" t="inlineStr">
        <is>
          <t>%</t>
        </is>
      </c>
      <c r="D20" s="7" t="inlineStr">
        <is>
          <t>Safe debt ceiling</t>
        </is>
      </c>
    </row>
    <row r="21">
      <c r="A21" s="4" t="inlineStr">
        <is>
          <t>Setup Collateral BTC</t>
        </is>
      </c>
      <c r="B21" s="9" t="n">
        <v>2</v>
      </c>
      <c r="C21" s="6" t="inlineStr">
        <is>
          <t>BTC</t>
        </is>
      </c>
      <c r="D21" s="7" t="inlineStr">
        <is>
          <t>Income keeps BTC constant</t>
        </is>
      </c>
    </row>
  </sheetData>
  <mergeCells count="4">
    <mergeCell ref="A17:D17"/>
    <mergeCell ref="A4:D4"/>
    <mergeCell ref="A13:D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Price Projection</t>
        </is>
      </c>
    </row>
    <row r="2"/>
    <row r="3">
      <c r="A3" s="2" t="inlineStr">
        <is>
          <t>Year</t>
        </is>
      </c>
      <c r="B3" s="2" t="inlineStr">
        <is>
          <t>BTC Price</t>
        </is>
      </c>
      <c r="C3" s="2" t="inlineStr">
        <is>
          <t>Scenario</t>
        </is>
      </c>
      <c r="D3" s="2" t="inlineStr">
        <is>
          <t>YoY Change</t>
        </is>
      </c>
    </row>
    <row r="4">
      <c r="A4" s="6" t="n">
        <v>0</v>
      </c>
      <c r="B4" s="11">
        <f>'Inputs'!$B$5</f>
        <v/>
      </c>
      <c r="C4" s="6" t="inlineStr">
        <is>
          <t>Editable formula projection</t>
        </is>
      </c>
      <c r="D4" s="12" t="n">
        <v>0</v>
      </c>
    </row>
    <row r="5">
      <c r="A5" s="6" t="n">
        <v>1</v>
      </c>
      <c r="B5" s="11">
        <f>B4*(1+'Inputs'!$B$6)</f>
        <v/>
      </c>
      <c r="C5" s="6" t="inlineStr">
        <is>
          <t>Editable formula projection</t>
        </is>
      </c>
      <c r="D5" s="12">
        <f>B5/B4-1</f>
        <v/>
      </c>
    </row>
    <row r="6">
      <c r="A6" s="6" t="n">
        <v>2</v>
      </c>
      <c r="B6" s="11">
        <f>B5*(1+'Inputs'!$B$6)</f>
        <v/>
      </c>
      <c r="C6" s="6" t="inlineStr">
        <is>
          <t>Editable formula projection</t>
        </is>
      </c>
      <c r="D6" s="12">
        <f>B6/B5-1</f>
        <v/>
      </c>
    </row>
    <row r="7">
      <c r="A7" s="6" t="n">
        <v>3</v>
      </c>
      <c r="B7" s="11">
        <f>B6*(1+'Inputs'!$B$6)</f>
        <v/>
      </c>
      <c r="C7" s="6" t="inlineStr">
        <is>
          <t>Editable formula projection</t>
        </is>
      </c>
      <c r="D7" s="12">
        <f>B7/B6-1</f>
        <v/>
      </c>
    </row>
    <row r="8">
      <c r="A8" s="6" t="n">
        <v>4</v>
      </c>
      <c r="B8" s="11">
        <f>B7*(1+'Inputs'!$B$6)</f>
        <v/>
      </c>
      <c r="C8" s="6" t="inlineStr">
        <is>
          <t>Editable formula projection</t>
        </is>
      </c>
      <c r="D8" s="12">
        <f>B8/B7-1</f>
        <v/>
      </c>
    </row>
    <row r="9">
      <c r="A9" s="6" t="n">
        <v>5</v>
      </c>
      <c r="B9" s="11">
        <f>B8*(1+'Inputs'!$B$6)</f>
        <v/>
      </c>
      <c r="C9" s="6" t="inlineStr">
        <is>
          <t>Editable formula projection</t>
        </is>
      </c>
      <c r="D9" s="12">
        <f>B9/B8-1</f>
        <v/>
      </c>
    </row>
    <row r="10">
      <c r="A10" s="6" t="n">
        <v>6</v>
      </c>
      <c r="B10" s="11">
        <f>B9*(1+'Inputs'!$B$6)</f>
        <v/>
      </c>
      <c r="C10" s="6" t="inlineStr">
        <is>
          <t>Editable formula projection</t>
        </is>
      </c>
      <c r="D10" s="12">
        <f>B10/B9-1</f>
        <v/>
      </c>
    </row>
    <row r="11">
      <c r="A11" s="6" t="n">
        <v>7</v>
      </c>
      <c r="B11" s="11">
        <f>B10*(1+'Inputs'!$B$6)</f>
        <v/>
      </c>
      <c r="C11" s="6" t="inlineStr">
        <is>
          <t>Editable formula projection</t>
        </is>
      </c>
      <c r="D11" s="12">
        <f>B11/B10-1</f>
        <v/>
      </c>
    </row>
    <row r="12">
      <c r="A12" s="6" t="n">
        <v>8</v>
      </c>
      <c r="B12" s="11">
        <f>B11*(1+'Inputs'!$B$6)</f>
        <v/>
      </c>
      <c r="C12" s="6" t="inlineStr">
        <is>
          <t>Editable formula projection</t>
        </is>
      </c>
      <c r="D12" s="12">
        <f>B12/B11-1</f>
        <v/>
      </c>
    </row>
    <row r="13">
      <c r="A13" s="6" t="n">
        <v>9</v>
      </c>
      <c r="B13" s="11">
        <f>B12*(1+'Inputs'!$B$6)</f>
        <v/>
      </c>
      <c r="C13" s="6" t="inlineStr">
        <is>
          <t>Editable formula projection</t>
        </is>
      </c>
      <c r="D13" s="12">
        <f>B13/B12-1</f>
        <v/>
      </c>
    </row>
    <row r="14">
      <c r="A14" s="6" t="n">
        <v>10</v>
      </c>
      <c r="B14" s="11">
        <f>B13*(1+'Inputs'!$B$6)</f>
        <v/>
      </c>
      <c r="C14" s="6" t="inlineStr">
        <is>
          <t>Editable formula projection</t>
        </is>
      </c>
      <c r="D14" s="12">
        <f>B14/B13-1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  <col width="19" customWidth="1" min="4" max="4"/>
    <col width="19" customWidth="1" min="5" max="5"/>
    <col width="21" customWidth="1" min="6" max="6"/>
    <col width="21" customWidth="1" min="7" max="7"/>
    <col width="15" customWidth="1" min="8" max="8"/>
    <col width="20" customWidth="1" min="9" max="9"/>
    <col width="23" customWidth="1" min="10" max="10"/>
    <col width="20" customWidth="1" min="11" max="11"/>
    <col width="20" customWidth="1" min="12" max="12"/>
    <col width="21" customWidth="1" min="13" max="13"/>
    <col width="20" customWidth="1" min="14" max="14"/>
    <col width="22" customWidth="1" min="15" max="15"/>
    <col width="20" customWidth="1" min="16" max="16"/>
    <col width="21" customWidth="1" min="17" max="17"/>
    <col width="20" customWidth="1" min="18" max="18"/>
    <col width="20" customWidth="1" min="19" max="19"/>
    <col width="20" customWidth="1" min="20" max="20"/>
    <col width="21" customWidth="1" min="21" max="21"/>
    <col width="13" customWidth="1" min="22" max="22"/>
  </cols>
  <sheetData>
    <row r="1">
      <c r="A1" s="1" t="inlineStr">
        <is>
          <t>Accumulation Engine — Recursive BTC Leverage</t>
        </is>
      </c>
    </row>
    <row r="2"/>
    <row r="3">
      <c r="A3" s="2" t="inlineStr">
        <is>
          <t>Year</t>
        </is>
      </c>
      <c r="B3" s="2" t="inlineStr">
        <is>
          <t>BTC Price</t>
        </is>
      </c>
      <c r="C3" s="2" t="inlineStr">
        <is>
          <t>Starting Collateral BTC</t>
        </is>
      </c>
      <c r="D3" s="2" t="inlineStr">
        <is>
          <t>Starting Debt</t>
        </is>
      </c>
      <c r="E3" s="2" t="inlineStr">
        <is>
          <t>Interest Accrued</t>
        </is>
      </c>
      <c r="F3" s="2" t="inlineStr">
        <is>
          <t>Debt After Interest</t>
        </is>
      </c>
      <c r="G3" s="2" t="inlineStr">
        <is>
          <t>Pre-Action LTV</t>
        </is>
      </c>
      <c r="H3" s="2" t="inlineStr">
        <is>
          <t>New Borrowing</t>
        </is>
      </c>
      <c r="I3" s="2" t="inlineStr">
        <is>
          <t>BTC Bought</t>
        </is>
      </c>
      <c r="J3" s="2" t="inlineStr">
        <is>
          <t>Ending Collateral BTC</t>
        </is>
      </c>
      <c r="K3" s="2" t="inlineStr">
        <is>
          <t>Ending Debt</t>
        </is>
      </c>
      <c r="L3" s="2" t="inlineStr">
        <is>
          <t>Gross BTC Held</t>
        </is>
      </c>
      <c r="M3" s="2" t="inlineStr">
        <is>
          <t>Debt BTC Equivalent</t>
        </is>
      </c>
      <c r="N3" s="2" t="inlineStr">
        <is>
          <t>Net BTC After Debt</t>
        </is>
      </c>
      <c r="O3" s="2" t="inlineStr">
        <is>
          <t>Extra BTC vs Passive</t>
        </is>
      </c>
      <c r="P3" s="2" t="inlineStr">
        <is>
          <t>Net Equity USD</t>
        </is>
      </c>
      <c r="Q3" s="2" t="inlineStr">
        <is>
          <t>Effective LTV End</t>
        </is>
      </c>
      <c r="R3" s="2" t="inlineStr">
        <is>
          <t>Leverage Multiple</t>
        </is>
      </c>
      <c r="S3" s="2" t="inlineStr">
        <is>
          <t>Margin-Call Price</t>
        </is>
      </c>
      <c r="T3" s="2" t="inlineStr">
        <is>
          <t>Liquidation Price</t>
        </is>
      </c>
      <c r="U3" s="2" t="inlineStr">
        <is>
          <t>Drop to Liquidation</t>
        </is>
      </c>
      <c r="V3" s="2" t="inlineStr">
        <is>
          <t>Risk Status</t>
        </is>
      </c>
    </row>
    <row r="4">
      <c r="A4" s="6" t="n">
        <v>0</v>
      </c>
      <c r="B4" s="11">
        <f>'Price Projection'!B4</f>
        <v/>
      </c>
      <c r="C4" s="13" t="n">
        <v>2</v>
      </c>
      <c r="D4" s="11" t="n">
        <v>0</v>
      </c>
      <c r="E4" s="11" t="n">
        <v>0</v>
      </c>
      <c r="F4" s="11" t="n">
        <v>0</v>
      </c>
      <c r="G4" s="12" t="n">
        <v>0</v>
      </c>
      <c r="H4" s="11" t="n">
        <v>40000</v>
      </c>
      <c r="I4" s="13" t="n">
        <v>0.6666666666666665</v>
      </c>
      <c r="J4" s="13" t="n">
        <v>2.666666666666667</v>
      </c>
      <c r="K4" s="11" t="n">
        <v>40000</v>
      </c>
      <c r="L4" s="13" t="n">
        <v>2.666666666666667</v>
      </c>
      <c r="M4" s="13" t="n">
        <v>0.6666666666666666</v>
      </c>
      <c r="N4" s="13" t="n">
        <v>2</v>
      </c>
      <c r="O4" s="13" t="n">
        <v>0.6666666666666665</v>
      </c>
      <c r="P4" s="11" t="n">
        <v>120000</v>
      </c>
      <c r="Q4" s="12" t="n">
        <v>0.25</v>
      </c>
      <c r="R4" s="6" t="n">
        <v>1.333333333333333</v>
      </c>
      <c r="S4" s="11" t="n">
        <v>21428.57142857143</v>
      </c>
      <c r="T4" s="11" t="n">
        <v>20000</v>
      </c>
      <c r="U4" s="12" t="n">
        <v>0.6666666666666667</v>
      </c>
      <c r="V4" s="6" t="inlineStr">
        <is>
          <t>SAFE</t>
        </is>
      </c>
    </row>
    <row r="5">
      <c r="A5" s="6" t="n">
        <v>1</v>
      </c>
      <c r="B5" s="11">
        <f>'Price Projection'!B5</f>
        <v/>
      </c>
      <c r="C5" s="13" t="n">
        <v>2.666666666666667</v>
      </c>
      <c r="D5" s="11" t="n">
        <v>40000</v>
      </c>
      <c r="E5" s="11" t="n">
        <v>4000</v>
      </c>
      <c r="F5" s="11" t="n">
        <v>44000</v>
      </c>
      <c r="G5" s="12" t="n">
        <v>0.275</v>
      </c>
      <c r="H5" s="11" t="n">
        <v>0</v>
      </c>
      <c r="I5" s="13" t="n">
        <v>0</v>
      </c>
      <c r="J5" s="13" t="n">
        <v>2.666666666666667</v>
      </c>
      <c r="K5" s="11" t="n">
        <v>44000</v>
      </c>
      <c r="L5" s="13" t="n">
        <v>2.666666666666667</v>
      </c>
      <c r="M5" s="13" t="n">
        <v>0.7333333333333333</v>
      </c>
      <c r="N5" s="13" t="n">
        <v>1.933333333333333</v>
      </c>
      <c r="O5" s="13" t="n">
        <v>0.6666666666666665</v>
      </c>
      <c r="P5" s="11" t="n">
        <v>116000</v>
      </c>
      <c r="Q5" s="12" t="n">
        <v>0.275</v>
      </c>
      <c r="R5" s="6" t="n">
        <v>1.333333333333333</v>
      </c>
      <c r="S5" s="11" t="n">
        <v>23571.42857142857</v>
      </c>
      <c r="T5" s="11" t="n">
        <v>22000</v>
      </c>
      <c r="U5" s="12" t="n">
        <v>0.6333333333333333</v>
      </c>
      <c r="V5" s="6" t="inlineStr">
        <is>
          <t>SAFE</t>
        </is>
      </c>
    </row>
    <row r="6">
      <c r="A6" s="6" t="n">
        <v>2</v>
      </c>
      <c r="B6" s="11">
        <f>'Price Projection'!B6</f>
        <v/>
      </c>
      <c r="C6" s="13" t="n">
        <v>2.666666666666667</v>
      </c>
      <c r="D6" s="11" t="n">
        <v>44000</v>
      </c>
      <c r="E6" s="11" t="n">
        <v>4400</v>
      </c>
      <c r="F6" s="11" t="n">
        <v>48400</v>
      </c>
      <c r="G6" s="12" t="n">
        <v>0.3025</v>
      </c>
      <c r="H6" s="11" t="n">
        <v>0</v>
      </c>
      <c r="I6" s="13" t="n">
        <v>0</v>
      </c>
      <c r="J6" s="13" t="n">
        <v>2.666666666666667</v>
      </c>
      <c r="K6" s="11" t="n">
        <v>48400</v>
      </c>
      <c r="L6" s="13" t="n">
        <v>2.666666666666667</v>
      </c>
      <c r="M6" s="13" t="n">
        <v>0.8066666666666666</v>
      </c>
      <c r="N6" s="13" t="n">
        <v>1.86</v>
      </c>
      <c r="O6" s="13" t="n">
        <v>0.6666666666666665</v>
      </c>
      <c r="P6" s="11" t="n">
        <v>111600</v>
      </c>
      <c r="Q6" s="12" t="n">
        <v>0.3025</v>
      </c>
      <c r="R6" s="6" t="n">
        <v>1.333333333333333</v>
      </c>
      <c r="S6" s="11" t="n">
        <v>25928.57142857143</v>
      </c>
      <c r="T6" s="11" t="n">
        <v>24200</v>
      </c>
      <c r="U6" s="12" t="n">
        <v>0.5966666666666667</v>
      </c>
      <c r="V6" s="6" t="inlineStr">
        <is>
          <t>SAFE</t>
        </is>
      </c>
    </row>
    <row r="7">
      <c r="A7" s="6" t="n">
        <v>3</v>
      </c>
      <c r="B7" s="11">
        <f>'Price Projection'!B7</f>
        <v/>
      </c>
      <c r="C7" s="13" t="n">
        <v>2.666666666666667</v>
      </c>
      <c r="D7" s="11" t="n">
        <v>48400</v>
      </c>
      <c r="E7" s="11" t="n">
        <v>4840</v>
      </c>
      <c r="F7" s="11" t="n">
        <v>53240</v>
      </c>
      <c r="G7" s="12" t="n">
        <v>0.33275</v>
      </c>
      <c r="H7" s="11" t="n">
        <v>0</v>
      </c>
      <c r="I7" s="13" t="n">
        <v>0</v>
      </c>
      <c r="J7" s="13" t="n">
        <v>2.666666666666667</v>
      </c>
      <c r="K7" s="11" t="n">
        <v>53240</v>
      </c>
      <c r="L7" s="13" t="n">
        <v>2.666666666666667</v>
      </c>
      <c r="M7" s="13" t="n">
        <v>0.8873333333333333</v>
      </c>
      <c r="N7" s="13" t="n">
        <v>1.779333333333333</v>
      </c>
      <c r="O7" s="13" t="n">
        <v>0.6666666666666665</v>
      </c>
      <c r="P7" s="11" t="n">
        <v>106760</v>
      </c>
      <c r="Q7" s="12" t="n">
        <v>0.33275</v>
      </c>
      <c r="R7" s="6" t="n">
        <v>1.333333333333333</v>
      </c>
      <c r="S7" s="11" t="n">
        <v>28521.42857142858</v>
      </c>
      <c r="T7" s="11" t="n">
        <v>26620</v>
      </c>
      <c r="U7" s="12" t="n">
        <v>0.5563333333333333</v>
      </c>
      <c r="V7" s="6" t="inlineStr">
        <is>
          <t>SAFE</t>
        </is>
      </c>
    </row>
    <row r="8">
      <c r="A8" s="6" t="n">
        <v>4</v>
      </c>
      <c r="B8" s="11">
        <f>'Price Projection'!B8</f>
        <v/>
      </c>
      <c r="C8" s="13" t="n">
        <v>2.666666666666667</v>
      </c>
      <c r="D8" s="11" t="n">
        <v>53240</v>
      </c>
      <c r="E8" s="11" t="n">
        <v>5324</v>
      </c>
      <c r="F8" s="11" t="n">
        <v>58564</v>
      </c>
      <c r="G8" s="12" t="n">
        <v>0.366025</v>
      </c>
      <c r="H8" s="11" t="n">
        <v>0</v>
      </c>
      <c r="I8" s="13" t="n">
        <v>0</v>
      </c>
      <c r="J8" s="13" t="n">
        <v>2.666666666666667</v>
      </c>
      <c r="K8" s="11" t="n">
        <v>58564</v>
      </c>
      <c r="L8" s="13" t="n">
        <v>2.666666666666667</v>
      </c>
      <c r="M8" s="13" t="n">
        <v>0.9760666666666666</v>
      </c>
      <c r="N8" s="13" t="n">
        <v>1.6906</v>
      </c>
      <c r="O8" s="13" t="n">
        <v>0.6666666666666665</v>
      </c>
      <c r="P8" s="11" t="n">
        <v>101436</v>
      </c>
      <c r="Q8" s="12" t="n">
        <v>0.366025</v>
      </c>
      <c r="R8" s="6" t="n">
        <v>1.333333333333333</v>
      </c>
      <c r="S8" s="11" t="n">
        <v>31373.57142857143</v>
      </c>
      <c r="T8" s="11" t="n">
        <v>29282</v>
      </c>
      <c r="U8" s="12" t="n">
        <v>0.5119666666666667</v>
      </c>
      <c r="V8" s="6" t="inlineStr">
        <is>
          <t>SAFE</t>
        </is>
      </c>
    </row>
    <row r="9">
      <c r="A9" s="6" t="n">
        <v>5</v>
      </c>
      <c r="B9" s="11">
        <f>'Price Projection'!B9</f>
        <v/>
      </c>
      <c r="C9" s="13" t="n">
        <v>2.666666666666667</v>
      </c>
      <c r="D9" s="11" t="n">
        <v>58564</v>
      </c>
      <c r="E9" s="11" t="n">
        <v>5856.400000000001</v>
      </c>
      <c r="F9" s="11" t="n">
        <v>64420.4</v>
      </c>
      <c r="G9" s="12" t="n">
        <v>0.4026275</v>
      </c>
      <c r="H9" s="11" t="n">
        <v>0</v>
      </c>
      <c r="I9" s="13" t="n">
        <v>0</v>
      </c>
      <c r="J9" s="13" t="n">
        <v>2.666666666666667</v>
      </c>
      <c r="K9" s="11" t="n">
        <v>64420.4</v>
      </c>
      <c r="L9" s="13" t="n">
        <v>2.666666666666667</v>
      </c>
      <c r="M9" s="13" t="n">
        <v>1.073673333333333</v>
      </c>
      <c r="N9" s="13" t="n">
        <v>1.592993333333333</v>
      </c>
      <c r="O9" s="13" t="n">
        <v>0.6666666666666665</v>
      </c>
      <c r="P9" s="11" t="n">
        <v>95579.60000000001</v>
      </c>
      <c r="Q9" s="12" t="n">
        <v>0.4026275</v>
      </c>
      <c r="R9" s="6" t="n">
        <v>1.333333333333333</v>
      </c>
      <c r="S9" s="11" t="n">
        <v>34510.92857142857</v>
      </c>
      <c r="T9" s="11" t="n">
        <v>32210.2</v>
      </c>
      <c r="U9" s="12" t="n">
        <v>0.4631633333333334</v>
      </c>
      <c r="V9" s="6" t="inlineStr">
        <is>
          <t>WARNING</t>
        </is>
      </c>
    </row>
    <row r="10">
      <c r="A10" s="6" t="n">
        <v>6</v>
      </c>
      <c r="B10" s="11">
        <f>'Price Projection'!B10</f>
        <v/>
      </c>
      <c r="C10" s="13" t="n">
        <v>2.666666666666667</v>
      </c>
      <c r="D10" s="11" t="n">
        <v>64420.4</v>
      </c>
      <c r="E10" s="11" t="n">
        <v>6442.040000000001</v>
      </c>
      <c r="F10" s="11" t="n">
        <v>70862.44</v>
      </c>
      <c r="G10" s="12" t="n">
        <v>0.44289025</v>
      </c>
      <c r="H10" s="11" t="n">
        <v>0</v>
      </c>
      <c r="I10" s="13" t="n">
        <v>0</v>
      </c>
      <c r="J10" s="13" t="n">
        <v>2.666666666666667</v>
      </c>
      <c r="K10" s="11" t="n">
        <v>70862.44</v>
      </c>
      <c r="L10" s="13" t="n">
        <v>2.666666666666667</v>
      </c>
      <c r="M10" s="13" t="n">
        <v>1.181040666666667</v>
      </c>
      <c r="N10" s="13" t="n">
        <v>1.485626</v>
      </c>
      <c r="O10" s="13" t="n">
        <v>0.6666666666666665</v>
      </c>
      <c r="P10" s="11" t="n">
        <v>89137.56</v>
      </c>
      <c r="Q10" s="12" t="n">
        <v>0.44289025</v>
      </c>
      <c r="R10" s="6" t="n">
        <v>1.333333333333333</v>
      </c>
      <c r="S10" s="11" t="n">
        <v>37962.02142857143</v>
      </c>
      <c r="T10" s="11" t="n">
        <v>35431.22</v>
      </c>
      <c r="U10" s="12" t="n">
        <v>0.4094796666666667</v>
      </c>
      <c r="V10" s="6" t="inlineStr">
        <is>
          <t>WARNING</t>
        </is>
      </c>
    </row>
    <row r="11">
      <c r="A11" s="6" t="n">
        <v>7</v>
      </c>
      <c r="B11" s="11">
        <f>'Price Projection'!B11</f>
        <v/>
      </c>
      <c r="C11" s="13" t="n">
        <v>2.666666666666667</v>
      </c>
      <c r="D11" s="11" t="n">
        <v>70862.44</v>
      </c>
      <c r="E11" s="11" t="n">
        <v>7086.244000000001</v>
      </c>
      <c r="F11" s="11" t="n">
        <v>77948.68400000001</v>
      </c>
      <c r="G11" s="12" t="n">
        <v>0.4871792750000001</v>
      </c>
      <c r="H11" s="11" t="n">
        <v>0</v>
      </c>
      <c r="I11" s="13" t="n">
        <v>0</v>
      </c>
      <c r="J11" s="13" t="n">
        <v>2.666666666666667</v>
      </c>
      <c r="K11" s="11" t="n">
        <v>77948.68400000001</v>
      </c>
      <c r="L11" s="13" t="n">
        <v>2.666666666666667</v>
      </c>
      <c r="M11" s="13" t="n">
        <v>1.299144733333333</v>
      </c>
      <c r="N11" s="13" t="n">
        <v>1.367521933333333</v>
      </c>
      <c r="O11" s="13" t="n">
        <v>0.6666666666666665</v>
      </c>
      <c r="P11" s="11" t="n">
        <v>82051.31599999999</v>
      </c>
      <c r="Q11" s="12" t="n">
        <v>0.4871792750000001</v>
      </c>
      <c r="R11" s="6" t="n">
        <v>1.333333333333333</v>
      </c>
      <c r="S11" s="11" t="n">
        <v>41758.22357142858</v>
      </c>
      <c r="T11" s="11" t="n">
        <v>38974.342</v>
      </c>
      <c r="U11" s="12" t="n">
        <v>0.3504276333333333</v>
      </c>
      <c r="V11" s="6" t="inlineStr">
        <is>
          <t>WARNING</t>
        </is>
      </c>
    </row>
    <row r="12">
      <c r="A12" s="6" t="n">
        <v>8</v>
      </c>
      <c r="B12" s="11">
        <f>'Price Projection'!B12</f>
        <v/>
      </c>
      <c r="C12" s="13" t="n">
        <v>2.666666666666667</v>
      </c>
      <c r="D12" s="11" t="n">
        <v>77948.68400000001</v>
      </c>
      <c r="E12" s="11" t="n">
        <v>7794.868400000001</v>
      </c>
      <c r="F12" s="11" t="n">
        <v>85743.55240000002</v>
      </c>
      <c r="G12" s="12" t="n">
        <v>0.5358972025000001</v>
      </c>
      <c r="H12" s="11" t="n">
        <v>0</v>
      </c>
      <c r="I12" s="13" t="n">
        <v>0</v>
      </c>
      <c r="J12" s="13" t="n">
        <v>2.666666666666667</v>
      </c>
      <c r="K12" s="11" t="n">
        <v>85743.55240000002</v>
      </c>
      <c r="L12" s="13" t="n">
        <v>2.666666666666667</v>
      </c>
      <c r="M12" s="13" t="n">
        <v>1.429059206666667</v>
      </c>
      <c r="N12" s="13" t="n">
        <v>1.23760746</v>
      </c>
      <c r="O12" s="13" t="n">
        <v>0.6666666666666665</v>
      </c>
      <c r="P12" s="11" t="n">
        <v>74256.44759999998</v>
      </c>
      <c r="Q12" s="12" t="n">
        <v>0.5358972025000001</v>
      </c>
      <c r="R12" s="6" t="n">
        <v>1.333333333333333</v>
      </c>
      <c r="S12" s="11" t="n">
        <v>45934.04592857144</v>
      </c>
      <c r="T12" s="11" t="n">
        <v>42871.77620000001</v>
      </c>
      <c r="U12" s="12" t="n">
        <v>0.2854703966666665</v>
      </c>
      <c r="V12" s="6" t="inlineStr">
        <is>
          <t>WARNING</t>
        </is>
      </c>
    </row>
    <row r="13">
      <c r="A13" s="6" t="n">
        <v>9</v>
      </c>
      <c r="B13" s="11">
        <f>'Price Projection'!B13</f>
        <v/>
      </c>
      <c r="C13" s="13" t="n">
        <v>2.666666666666667</v>
      </c>
      <c r="D13" s="11" t="n">
        <v>85743.55240000002</v>
      </c>
      <c r="E13" s="11" t="n">
        <v>8574.355240000003</v>
      </c>
      <c r="F13" s="11" t="n">
        <v>94317.90764000002</v>
      </c>
      <c r="G13" s="12" t="n">
        <v>0.5894869227500001</v>
      </c>
      <c r="H13" s="11" t="n">
        <v>0</v>
      </c>
      <c r="I13" s="13" t="n">
        <v>0</v>
      </c>
      <c r="J13" s="13" t="n">
        <v>2.666666666666667</v>
      </c>
      <c r="K13" s="11" t="n">
        <v>94317.90764000002</v>
      </c>
      <c r="L13" s="13" t="n">
        <v>2.666666666666667</v>
      </c>
      <c r="M13" s="13" t="n">
        <v>1.571965127333334</v>
      </c>
      <c r="N13" s="13" t="n">
        <v>1.094701539333333</v>
      </c>
      <c r="O13" s="13" t="n">
        <v>0.6666666666666665</v>
      </c>
      <c r="P13" s="11" t="n">
        <v>65682.09235999998</v>
      </c>
      <c r="Q13" s="12" t="n">
        <v>0.5894869227500001</v>
      </c>
      <c r="R13" s="6" t="n">
        <v>1.333333333333333</v>
      </c>
      <c r="S13" s="11" t="n">
        <v>50527.45052142859</v>
      </c>
      <c r="T13" s="11" t="n">
        <v>47158.95382000001</v>
      </c>
      <c r="U13" s="12" t="n">
        <v>0.2140174363333331</v>
      </c>
      <c r="V13" s="6" t="inlineStr">
        <is>
          <t>WARNING</t>
        </is>
      </c>
    </row>
    <row r="14">
      <c r="A14" s="6" t="n">
        <v>10</v>
      </c>
      <c r="B14" s="11">
        <f>'Price Projection'!B14</f>
        <v/>
      </c>
      <c r="C14" s="13" t="n">
        <v>2.666666666666667</v>
      </c>
      <c r="D14" s="11" t="n">
        <v>94317.90764000002</v>
      </c>
      <c r="E14" s="11" t="n">
        <v>9431.790764000003</v>
      </c>
      <c r="F14" s="11" t="n">
        <v>103749.698404</v>
      </c>
      <c r="G14" s="12" t="n">
        <v>0.6484356150250001</v>
      </c>
      <c r="H14" s="11" t="n">
        <v>0</v>
      </c>
      <c r="I14" s="13" t="n">
        <v>0</v>
      </c>
      <c r="J14" s="13" t="n">
        <v>2.666666666666667</v>
      </c>
      <c r="K14" s="11" t="n">
        <v>103749.698404</v>
      </c>
      <c r="L14" s="13" t="n">
        <v>2.666666666666667</v>
      </c>
      <c r="M14" s="13" t="n">
        <v>1.729161640066667</v>
      </c>
      <c r="N14" s="13" t="n">
        <v>0.9375050265999993</v>
      </c>
      <c r="O14" s="13" t="n">
        <v>0.6666666666666665</v>
      </c>
      <c r="P14" s="11" t="n">
        <v>56250.30159599998</v>
      </c>
      <c r="Q14" s="12" t="n">
        <v>0.6484356150250001</v>
      </c>
      <c r="R14" s="6" t="n">
        <v>1.333333333333333</v>
      </c>
      <c r="S14" s="11" t="n">
        <v>55580.19557357145</v>
      </c>
      <c r="T14" s="11" t="n">
        <v>51874.84920200001</v>
      </c>
      <c r="U14" s="12" t="n">
        <v>0.1354191799666664</v>
      </c>
      <c r="V14" s="6" t="inlineStr">
        <is>
          <t>WARNING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  <col width="19" customWidth="1" min="4" max="4"/>
    <col width="19" customWidth="1" min="5" max="5"/>
    <col width="21" customWidth="1" min="6" max="6"/>
    <col width="22" customWidth="1" min="7" max="7"/>
    <col width="28" customWidth="1" min="8" max="8"/>
    <col width="17" customWidth="1" min="9" max="9"/>
    <col width="17" customWidth="1" min="10" max="10"/>
    <col width="28" customWidth="1" min="11" max="11"/>
    <col width="19" customWidth="1" min="12" max="12"/>
    <col width="21" customWidth="1" min="13" max="13"/>
    <col width="21" customWidth="1" min="14" max="14"/>
    <col width="20" customWidth="1" min="15" max="15"/>
    <col width="20" customWidth="1" min="16" max="16"/>
    <col width="20" customWidth="1" min="17" max="17"/>
    <col width="20" customWidth="1" min="18" max="18"/>
    <col width="24" customWidth="1" min="19" max="19"/>
    <col width="23" customWidth="1" min="20" max="20"/>
  </cols>
  <sheetData>
    <row r="1">
      <c r="A1" s="1" t="inlineStr">
        <is>
          <t>Income Engine — Borrow-Funded Income</t>
        </is>
      </c>
    </row>
    <row r="2"/>
    <row r="3">
      <c r="A3" s="2" t="inlineStr">
        <is>
          <t>Year</t>
        </is>
      </c>
      <c r="B3" s="2" t="inlineStr">
        <is>
          <t>BTC Price</t>
        </is>
      </c>
      <c r="C3" s="2" t="inlineStr">
        <is>
          <t>Starting Collateral BTC</t>
        </is>
      </c>
      <c r="D3" s="2" t="inlineStr">
        <is>
          <t>Starting Debt</t>
        </is>
      </c>
      <c r="E3" s="2" t="inlineStr">
        <is>
          <t>Interest Accrued</t>
        </is>
      </c>
      <c r="F3" s="2" t="inlineStr">
        <is>
          <t>Debt After Interest</t>
        </is>
      </c>
      <c r="G3" s="2" t="inlineStr">
        <is>
          <t>Selected Income Draw</t>
        </is>
      </c>
      <c r="H3" s="2" t="inlineStr">
        <is>
          <t>Max Available Annual Income</t>
        </is>
      </c>
      <c r="I3" s="2" t="inlineStr">
        <is>
          <t>Income Borrowed</t>
        </is>
      </c>
      <c r="J3" s="2" t="inlineStr">
        <is>
          <t>Unfunded Income</t>
        </is>
      </c>
      <c r="K3" s="2" t="inlineStr">
        <is>
          <t>Cumulative Income Borrowed</t>
        </is>
      </c>
      <c r="L3" s="2" t="inlineStr">
        <is>
          <t>Ending Debt</t>
        </is>
      </c>
      <c r="M3" s="2" t="inlineStr">
        <is>
          <t>Debt BTC Equivalent</t>
        </is>
      </c>
      <c r="N3" s="2" t="inlineStr">
        <is>
          <t>Net BTC After Debt</t>
        </is>
      </c>
      <c r="O3" s="2" t="inlineStr">
        <is>
          <t>Net Equity USD</t>
        </is>
      </c>
      <c r="P3" s="2" t="inlineStr">
        <is>
          <t>Effective LTV End</t>
        </is>
      </c>
      <c r="Q3" s="2" t="inlineStr">
        <is>
          <t>Margin-Call Price</t>
        </is>
      </c>
      <c r="R3" s="2" t="inlineStr">
        <is>
          <t>Liquidation Price</t>
        </is>
      </c>
      <c r="S3" s="2" t="inlineStr">
        <is>
          <t>Drop to Liquidation</t>
        </is>
      </c>
      <c r="T3" s="2" t="inlineStr">
        <is>
          <t>Sustainability Status</t>
        </is>
      </c>
    </row>
    <row r="4">
      <c r="A4" s="6" t="n">
        <v>0</v>
      </c>
      <c r="B4" s="11">
        <f>'Price Projection'!B4</f>
        <v/>
      </c>
      <c r="C4" s="13" t="n">
        <v>2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42000</v>
      </c>
      <c r="I4" s="11" t="n">
        <v>0</v>
      </c>
      <c r="J4" s="11" t="n">
        <v>0</v>
      </c>
      <c r="K4" s="11" t="n">
        <v>0</v>
      </c>
      <c r="L4" s="11" t="n">
        <v>0</v>
      </c>
      <c r="M4" s="13" t="n">
        <v>0</v>
      </c>
      <c r="N4" s="13" t="n">
        <v>2</v>
      </c>
      <c r="O4" s="11" t="n">
        <v>120000</v>
      </c>
      <c r="P4" s="12" t="n">
        <v>0</v>
      </c>
      <c r="Q4" s="11" t="n">
        <v>0</v>
      </c>
      <c r="R4" s="11" t="n">
        <v>0</v>
      </c>
      <c r="S4" s="12" t="n">
        <v>0</v>
      </c>
      <c r="T4" s="6" t="inlineStr">
        <is>
          <t>SAFE</t>
        </is>
      </c>
    </row>
    <row r="5">
      <c r="A5" s="6" t="n">
        <v>1</v>
      </c>
      <c r="B5" s="11">
        <f>'Price Projection'!B5</f>
        <v/>
      </c>
      <c r="C5" s="13" t="n">
        <v>2</v>
      </c>
      <c r="D5" s="11" t="n">
        <v>0</v>
      </c>
      <c r="E5" s="11" t="n">
        <v>0</v>
      </c>
      <c r="F5" s="11" t="n">
        <v>0</v>
      </c>
      <c r="G5" s="11" t="n">
        <v>50000</v>
      </c>
      <c r="H5" s="11" t="n">
        <v>42000</v>
      </c>
      <c r="I5" s="11" t="n">
        <v>42000</v>
      </c>
      <c r="J5" s="11" t="n">
        <v>8000</v>
      </c>
      <c r="K5" s="11" t="n">
        <v>42000</v>
      </c>
      <c r="L5" s="11" t="n">
        <v>42000</v>
      </c>
      <c r="M5" s="13" t="n">
        <v>0.7</v>
      </c>
      <c r="N5" s="13" t="n">
        <v>1.3</v>
      </c>
      <c r="O5" s="11" t="n">
        <v>78000</v>
      </c>
      <c r="P5" s="12" t="n">
        <v>0.35</v>
      </c>
      <c r="Q5" s="11" t="n">
        <v>30000</v>
      </c>
      <c r="R5" s="11" t="n">
        <v>28000</v>
      </c>
      <c r="S5" s="12" t="n">
        <v>0.5333333333333333</v>
      </c>
      <c r="T5" s="6" t="inlineStr">
        <is>
          <t>CONSTRAINED</t>
        </is>
      </c>
    </row>
    <row r="6">
      <c r="A6" s="6" t="n">
        <v>2</v>
      </c>
      <c r="B6" s="11">
        <f>'Price Projection'!B6</f>
        <v/>
      </c>
      <c r="C6" s="13" t="n">
        <v>2</v>
      </c>
      <c r="D6" s="11" t="n">
        <v>42000</v>
      </c>
      <c r="E6" s="11" t="n">
        <v>4200</v>
      </c>
      <c r="F6" s="11" t="n">
        <v>46200</v>
      </c>
      <c r="G6" s="11" t="n">
        <v>50000</v>
      </c>
      <c r="H6" s="11" t="n">
        <v>0</v>
      </c>
      <c r="I6" s="11" t="n">
        <v>0</v>
      </c>
      <c r="J6" s="11" t="n">
        <v>50000</v>
      </c>
      <c r="K6" s="11" t="n">
        <v>42000</v>
      </c>
      <c r="L6" s="11" t="n">
        <v>46200</v>
      </c>
      <c r="M6" s="13" t="n">
        <v>0.77</v>
      </c>
      <c r="N6" s="13" t="n">
        <v>1.23</v>
      </c>
      <c r="O6" s="11" t="n">
        <v>73800</v>
      </c>
      <c r="P6" s="12" t="n">
        <v>0.385</v>
      </c>
      <c r="Q6" s="11" t="n">
        <v>33000</v>
      </c>
      <c r="R6" s="11" t="n">
        <v>30800</v>
      </c>
      <c r="S6" s="12" t="n">
        <v>0.4866666666666667</v>
      </c>
      <c r="T6" s="6" t="inlineStr">
        <is>
          <t>WARNING</t>
        </is>
      </c>
    </row>
    <row r="7">
      <c r="A7" s="6" t="n">
        <v>3</v>
      </c>
      <c r="B7" s="11">
        <f>'Price Projection'!B7</f>
        <v/>
      </c>
      <c r="C7" s="13" t="n">
        <v>2</v>
      </c>
      <c r="D7" s="11" t="n">
        <v>46200</v>
      </c>
      <c r="E7" s="11" t="n">
        <v>4620</v>
      </c>
      <c r="F7" s="11" t="n">
        <v>50820</v>
      </c>
      <c r="G7" s="11" t="n">
        <v>50000</v>
      </c>
      <c r="H7" s="11" t="n">
        <v>0</v>
      </c>
      <c r="I7" s="11" t="n">
        <v>0</v>
      </c>
      <c r="J7" s="11" t="n">
        <v>50000</v>
      </c>
      <c r="K7" s="11" t="n">
        <v>42000</v>
      </c>
      <c r="L7" s="11" t="n">
        <v>50820</v>
      </c>
      <c r="M7" s="13" t="n">
        <v>0.847</v>
      </c>
      <c r="N7" s="13" t="n">
        <v>1.153</v>
      </c>
      <c r="O7" s="11" t="n">
        <v>69180</v>
      </c>
      <c r="P7" s="12" t="n">
        <v>0.4235</v>
      </c>
      <c r="Q7" s="11" t="n">
        <v>36300</v>
      </c>
      <c r="R7" s="11" t="n">
        <v>33880</v>
      </c>
      <c r="S7" s="12" t="n">
        <v>0.4353333333333333</v>
      </c>
      <c r="T7" s="6" t="inlineStr">
        <is>
          <t>WARNING</t>
        </is>
      </c>
    </row>
    <row r="8">
      <c r="A8" s="6" t="n">
        <v>4</v>
      </c>
      <c r="B8" s="11">
        <f>'Price Projection'!B8</f>
        <v/>
      </c>
      <c r="C8" s="13" t="n">
        <v>2</v>
      </c>
      <c r="D8" s="11" t="n">
        <v>50820</v>
      </c>
      <c r="E8" s="11" t="n">
        <v>5082</v>
      </c>
      <c r="F8" s="11" t="n">
        <v>55902</v>
      </c>
      <c r="G8" s="11" t="n">
        <v>50000</v>
      </c>
      <c r="H8" s="11" t="n">
        <v>0</v>
      </c>
      <c r="I8" s="11" t="n">
        <v>0</v>
      </c>
      <c r="J8" s="11" t="n">
        <v>50000</v>
      </c>
      <c r="K8" s="11" t="n">
        <v>42000</v>
      </c>
      <c r="L8" s="11" t="n">
        <v>55902</v>
      </c>
      <c r="M8" s="13" t="n">
        <v>0.9317</v>
      </c>
      <c r="N8" s="13" t="n">
        <v>1.0683</v>
      </c>
      <c r="O8" s="11" t="n">
        <v>64098</v>
      </c>
      <c r="P8" s="12" t="n">
        <v>0.46585</v>
      </c>
      <c r="Q8" s="11" t="n">
        <v>39930</v>
      </c>
      <c r="R8" s="11" t="n">
        <v>37268</v>
      </c>
      <c r="S8" s="12" t="n">
        <v>0.3788666666666667</v>
      </c>
      <c r="T8" s="6" t="inlineStr">
        <is>
          <t>WARNING</t>
        </is>
      </c>
    </row>
    <row r="9">
      <c r="A9" s="6" t="n">
        <v>5</v>
      </c>
      <c r="B9" s="11">
        <f>'Price Projection'!B9</f>
        <v/>
      </c>
      <c r="C9" s="13" t="n">
        <v>2</v>
      </c>
      <c r="D9" s="11" t="n">
        <v>55902</v>
      </c>
      <c r="E9" s="11" t="n">
        <v>5590.200000000001</v>
      </c>
      <c r="F9" s="11" t="n">
        <v>61492.2</v>
      </c>
      <c r="G9" s="11" t="n">
        <v>50000</v>
      </c>
      <c r="H9" s="11" t="n">
        <v>0</v>
      </c>
      <c r="I9" s="11" t="n">
        <v>0</v>
      </c>
      <c r="J9" s="11" t="n">
        <v>50000</v>
      </c>
      <c r="K9" s="11" t="n">
        <v>42000</v>
      </c>
      <c r="L9" s="11" t="n">
        <v>61492.2</v>
      </c>
      <c r="M9" s="13" t="n">
        <v>1.02487</v>
      </c>
      <c r="N9" s="13" t="n">
        <v>0.9751300000000001</v>
      </c>
      <c r="O9" s="11" t="n">
        <v>58507.8</v>
      </c>
      <c r="P9" s="12" t="n">
        <v>0.512435</v>
      </c>
      <c r="Q9" s="11" t="n">
        <v>43923</v>
      </c>
      <c r="R9" s="11" t="n">
        <v>40994.8</v>
      </c>
      <c r="S9" s="12" t="n">
        <v>0.3167533333333334</v>
      </c>
      <c r="T9" s="6" t="inlineStr">
        <is>
          <t>WARNING</t>
        </is>
      </c>
    </row>
    <row r="10">
      <c r="A10" s="6" t="n">
        <v>6</v>
      </c>
      <c r="B10" s="11">
        <f>'Price Projection'!B10</f>
        <v/>
      </c>
      <c r="C10" s="13" t="n">
        <v>2</v>
      </c>
      <c r="D10" s="11" t="n">
        <v>61492.2</v>
      </c>
      <c r="E10" s="11" t="n">
        <v>6149.22</v>
      </c>
      <c r="F10" s="11" t="n">
        <v>67641.42</v>
      </c>
      <c r="G10" s="11" t="n">
        <v>50000</v>
      </c>
      <c r="H10" s="11" t="n">
        <v>0</v>
      </c>
      <c r="I10" s="11" t="n">
        <v>0</v>
      </c>
      <c r="J10" s="11" t="n">
        <v>50000</v>
      </c>
      <c r="K10" s="11" t="n">
        <v>42000</v>
      </c>
      <c r="L10" s="11" t="n">
        <v>67641.42</v>
      </c>
      <c r="M10" s="13" t="n">
        <v>1.127357</v>
      </c>
      <c r="N10" s="13" t="n">
        <v>0.8726430000000001</v>
      </c>
      <c r="O10" s="11" t="n">
        <v>52358.58</v>
      </c>
      <c r="P10" s="12" t="n">
        <v>0.5636785</v>
      </c>
      <c r="Q10" s="11" t="n">
        <v>48315.3</v>
      </c>
      <c r="R10" s="11" t="n">
        <v>45094.28</v>
      </c>
      <c r="S10" s="12" t="n">
        <v>0.2484286666666666</v>
      </c>
      <c r="T10" s="6" t="inlineStr">
        <is>
          <t>WARNING</t>
        </is>
      </c>
    </row>
    <row r="11">
      <c r="A11" s="6" t="n">
        <v>7</v>
      </c>
      <c r="B11" s="11">
        <f>'Price Projection'!B11</f>
        <v/>
      </c>
      <c r="C11" s="13" t="n">
        <v>2</v>
      </c>
      <c r="D11" s="11" t="n">
        <v>67641.42</v>
      </c>
      <c r="E11" s="11" t="n">
        <v>6764.142</v>
      </c>
      <c r="F11" s="11" t="n">
        <v>74405.56200000001</v>
      </c>
      <c r="G11" s="11" t="n">
        <v>50000</v>
      </c>
      <c r="H11" s="11" t="n">
        <v>0</v>
      </c>
      <c r="I11" s="11" t="n">
        <v>0</v>
      </c>
      <c r="J11" s="11" t="n">
        <v>50000</v>
      </c>
      <c r="K11" s="11" t="n">
        <v>42000</v>
      </c>
      <c r="L11" s="11" t="n">
        <v>74405.56200000001</v>
      </c>
      <c r="M11" s="13" t="n">
        <v>1.2400927</v>
      </c>
      <c r="N11" s="13" t="n">
        <v>0.7599072999999998</v>
      </c>
      <c r="O11" s="11" t="n">
        <v>45594.43799999999</v>
      </c>
      <c r="P11" s="12" t="n">
        <v>0.6200463500000001</v>
      </c>
      <c r="Q11" s="11" t="n">
        <v>53146.83000000001</v>
      </c>
      <c r="R11" s="11" t="n">
        <v>49603.70800000001</v>
      </c>
      <c r="S11" s="12" t="n">
        <v>0.1732715333333332</v>
      </c>
      <c r="T11" s="6" t="inlineStr">
        <is>
          <t>WARNING</t>
        </is>
      </c>
    </row>
    <row r="12">
      <c r="A12" s="6" t="n">
        <v>8</v>
      </c>
      <c r="B12" s="11">
        <f>'Price Projection'!B12</f>
        <v/>
      </c>
      <c r="C12" s="13" t="n">
        <v>2</v>
      </c>
      <c r="D12" s="11" t="n">
        <v>74405.56200000001</v>
      </c>
      <c r="E12" s="11" t="n">
        <v>7440.556200000001</v>
      </c>
      <c r="F12" s="11" t="n">
        <v>81846.11820000001</v>
      </c>
      <c r="G12" s="11" t="n">
        <v>50000</v>
      </c>
      <c r="H12" s="11" t="n">
        <v>0</v>
      </c>
      <c r="I12" s="11" t="n">
        <v>0</v>
      </c>
      <c r="J12" s="11" t="n">
        <v>50000</v>
      </c>
      <c r="K12" s="11" t="n">
        <v>42000</v>
      </c>
      <c r="L12" s="11" t="n">
        <v>81846.11820000001</v>
      </c>
      <c r="M12" s="13" t="n">
        <v>1.36410197</v>
      </c>
      <c r="N12" s="13" t="n">
        <v>0.6358980299999999</v>
      </c>
      <c r="O12" s="11" t="n">
        <v>38153.88179999999</v>
      </c>
      <c r="P12" s="12" t="n">
        <v>0.6820509850000001</v>
      </c>
      <c r="Q12" s="11" t="n">
        <v>58461.51300000001</v>
      </c>
      <c r="R12" s="11" t="n">
        <v>54564.07880000001</v>
      </c>
      <c r="S12" s="12" t="n">
        <v>0.09059868666666648</v>
      </c>
      <c r="T12" s="6" t="inlineStr">
        <is>
          <t>WARNING</t>
        </is>
      </c>
    </row>
    <row r="13">
      <c r="A13" s="6" t="n">
        <v>9</v>
      </c>
      <c r="B13" s="11">
        <f>'Price Projection'!B13</f>
        <v/>
      </c>
      <c r="C13" s="13" t="n">
        <v>2</v>
      </c>
      <c r="D13" s="11" t="n">
        <v>81846.11820000001</v>
      </c>
      <c r="E13" s="11" t="n">
        <v>8184.611820000002</v>
      </c>
      <c r="F13" s="11" t="n">
        <v>90030.73002000002</v>
      </c>
      <c r="G13" s="11" t="n">
        <v>50000</v>
      </c>
      <c r="H13" s="11" t="n">
        <v>0</v>
      </c>
      <c r="I13" s="11" t="n">
        <v>0</v>
      </c>
      <c r="J13" s="11" t="n">
        <v>50000</v>
      </c>
      <c r="K13" s="11" t="n">
        <v>42000</v>
      </c>
      <c r="L13" s="11" t="n">
        <v>90030.73002000002</v>
      </c>
      <c r="M13" s="13" t="n">
        <v>1.500512167</v>
      </c>
      <c r="N13" s="13" t="n">
        <v>0.4994878329999997</v>
      </c>
      <c r="O13" s="11" t="n">
        <v>29969.26997999998</v>
      </c>
      <c r="P13" s="12" t="n">
        <v>0.7502560835000002</v>
      </c>
      <c r="Q13" s="11" t="n">
        <v>64307.66430000002</v>
      </c>
      <c r="R13" s="11" t="n">
        <v>60020.48668000001</v>
      </c>
      <c r="S13" s="12" t="n">
        <v>-0.0003414446666667459</v>
      </c>
      <c r="T13" s="6" t="inlineStr">
        <is>
          <t>LIQUIDATED</t>
        </is>
      </c>
    </row>
    <row r="14">
      <c r="A14" s="6" t="n">
        <v>10</v>
      </c>
      <c r="B14" s="11">
        <f>'Price Projection'!B14</f>
        <v/>
      </c>
      <c r="C14" s="13" t="n">
        <v>2</v>
      </c>
      <c r="D14" s="11" t="n">
        <v>90030.73002000002</v>
      </c>
      <c r="E14" s="11" t="n">
        <v>9003.073002000003</v>
      </c>
      <c r="F14" s="11" t="n">
        <v>99033.80302200002</v>
      </c>
      <c r="G14" s="11" t="n">
        <v>50000</v>
      </c>
      <c r="H14" s="11" t="n">
        <v>0</v>
      </c>
      <c r="I14" s="11" t="n">
        <v>0</v>
      </c>
      <c r="J14" s="11" t="n">
        <v>50000</v>
      </c>
      <c r="K14" s="11" t="n">
        <v>42000</v>
      </c>
      <c r="L14" s="11" t="n">
        <v>99033.80302200002</v>
      </c>
      <c r="M14" s="13" t="n">
        <v>1.6505633837</v>
      </c>
      <c r="N14" s="13" t="n">
        <v>0.3494366162999996</v>
      </c>
      <c r="O14" s="11" t="n">
        <v>20966.19697799998</v>
      </c>
      <c r="P14" s="12" t="n">
        <v>0.8252816918500002</v>
      </c>
      <c r="Q14" s="11" t="n">
        <v>70738.43073000002</v>
      </c>
      <c r="R14" s="11" t="n">
        <v>66022.53534800002</v>
      </c>
      <c r="S14" s="12" t="n">
        <v>-0.1003755891333336</v>
      </c>
      <c r="T14" s="6" t="inlineStr">
        <is>
          <t>LIQUIDATED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Risk Alerts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Accumulation risk path</t>
        </is>
      </c>
    </row>
    <row r="5">
      <c r="A5" s="7" t="inlineStr">
        <is>
          <t>Accumulation max effective LTV</t>
        </is>
      </c>
      <c r="B5" s="12" t="n">
        <v>0.6484356150250001</v>
      </c>
    </row>
    <row r="6">
      <c r="A6" s="7" t="inlineStr">
        <is>
          <t>Accumulation min drop-to-liquidation</t>
        </is>
      </c>
      <c r="B6" s="12" t="n">
        <v>0.1354191799666664</v>
      </c>
    </row>
    <row r="7">
      <c r="A7" s="7" t="inlineStr">
        <is>
          <t>Accumulation first non-safe year</t>
        </is>
      </c>
      <c r="B7" s="6" t="n">
        <v>5</v>
      </c>
    </row>
    <row r="8">
      <c r="A8" s="7" t="inlineStr">
        <is>
          <t>Accumulation liquidation year</t>
        </is>
      </c>
      <c r="B8" s="6" t="inlineStr">
        <is>
          <t>None</t>
        </is>
      </c>
    </row>
    <row r="9">
      <c r="A9" s="7" t="inlineStr">
        <is>
          <t>Accumulation total interest accrued</t>
        </is>
      </c>
      <c r="B9" s="11" t="n">
        <v>63749.69840400001</v>
      </c>
    </row>
    <row r="10">
      <c r="A10" s="7" t="inlineStr">
        <is>
          <t>Accumulation total new borrowing</t>
        </is>
      </c>
      <c r="B10" s="11" t="n">
        <v>40000</v>
      </c>
    </row>
    <row r="11">
      <c r="A11" s="7" t="inlineStr">
        <is>
          <t>Accumulation ending net BTC</t>
        </is>
      </c>
      <c r="B11" s="13" t="n">
        <v>0.9375050265999993</v>
      </c>
    </row>
    <row r="12">
      <c r="A12" s="7" t="inlineStr">
        <is>
          <t>Accumulation BTC outperformance vs passive</t>
        </is>
      </c>
      <c r="B12" s="13" t="n">
        <v>-1.062494973400001</v>
      </c>
    </row>
    <row r="13">
      <c r="A13" s="3" t="inlineStr">
        <is>
          <t>Income risk path</t>
        </is>
      </c>
    </row>
    <row r="14">
      <c r="A14" s="7" t="inlineStr">
        <is>
          <t>Income max effective LTV</t>
        </is>
      </c>
      <c r="B14" s="12" t="n">
        <v>0.8252816918500002</v>
      </c>
    </row>
    <row r="15">
      <c r="A15" s="7" t="inlineStr">
        <is>
          <t>Income min drop-to-liquidation</t>
        </is>
      </c>
      <c r="B15" s="12" t="n">
        <v>-0.1003755891333336</v>
      </c>
    </row>
    <row r="16">
      <c r="A16" s="7" t="inlineStr">
        <is>
          <t>Income first constrained year</t>
        </is>
      </c>
      <c r="B16" s="6" t="n">
        <v>1</v>
      </c>
    </row>
    <row r="17">
      <c r="A17" s="7" t="inlineStr">
        <is>
          <t>Income liquidation year</t>
        </is>
      </c>
      <c r="B17" s="6" t="n">
        <v>9</v>
      </c>
    </row>
    <row r="18">
      <c r="A18" s="7" t="inlineStr">
        <is>
          <t>Income total interest accrued</t>
        </is>
      </c>
      <c r="B18" s="11" t="n">
        <v>57033.80302200001</v>
      </c>
    </row>
    <row r="19">
      <c r="A19" s="7" t="inlineStr">
        <is>
          <t>Income total funded</t>
        </is>
      </c>
      <c r="B19" s="11" t="n">
        <v>42000</v>
      </c>
    </row>
    <row r="20">
      <c r="A20" s="7" t="inlineStr">
        <is>
          <t>Income total shortfall</t>
        </is>
      </c>
      <c r="B20" s="11" t="n">
        <v>458000</v>
      </c>
    </row>
    <row r="21">
      <c r="A21" s="3" t="inlineStr">
        <is>
          <t>Passive hold comparison</t>
        </is>
      </c>
    </row>
    <row r="22">
      <c r="A22" s="7" t="inlineStr">
        <is>
          <t>Passive BTC held</t>
        </is>
      </c>
      <c r="B22" s="13" t="n">
        <v>2</v>
      </c>
    </row>
    <row r="23">
      <c r="A23" s="7" t="inlineStr">
        <is>
          <t>Passive ending value</t>
        </is>
      </c>
      <c r="B23" s="11" t="n">
        <v>120000</v>
      </c>
    </row>
  </sheetData>
  <mergeCells count="4">
    <mergeCell ref="A4:B4"/>
    <mergeCell ref="A13:B13"/>
    <mergeCell ref="A21:B2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BTC-Backed Loan Model v2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7" t="inlineStr">
        <is>
          <t>Passive starting BTC</t>
        </is>
      </c>
      <c r="B4" s="13" t="n">
        <v>2</v>
      </c>
    </row>
    <row r="5">
      <c r="A5" s="7" t="inlineStr">
        <is>
          <t>Passive ending BTC</t>
        </is>
      </c>
      <c r="B5" s="13" t="n">
        <v>2</v>
      </c>
    </row>
    <row r="6">
      <c r="A6" s="7" t="inlineStr">
        <is>
          <t>Passive ending value</t>
        </is>
      </c>
      <c r="B6" s="11" t="n">
        <v>120000</v>
      </c>
    </row>
    <row r="7">
      <c r="A7" s="7" t="inlineStr">
        <is>
          <t>Accumulation setup gross BTC</t>
        </is>
      </c>
      <c r="B7" s="13" t="n">
        <v>2.666666666666667</v>
      </c>
    </row>
    <row r="8">
      <c r="A8" s="7" t="inlineStr">
        <is>
          <t>Accumulation ending gross BTC</t>
        </is>
      </c>
      <c r="B8" s="13" t="n">
        <v>2.666666666666667</v>
      </c>
    </row>
    <row r="9">
      <c r="A9" s="7" t="inlineStr">
        <is>
          <t>Accumulation ending debt</t>
        </is>
      </c>
      <c r="B9" s="11" t="n">
        <v>103749.698404</v>
      </c>
    </row>
    <row r="10">
      <c r="A10" s="7" t="inlineStr">
        <is>
          <t>Accumulation ending net BTC</t>
        </is>
      </c>
      <c r="B10" s="13" t="n">
        <v>0.9375050265999993</v>
      </c>
    </row>
    <row r="11">
      <c r="A11" s="7" t="inlineStr">
        <is>
          <t>Accumulation ending LTV</t>
        </is>
      </c>
      <c r="B11" s="12" t="n">
        <v>0.6484356150250001</v>
      </c>
    </row>
    <row r="12">
      <c r="A12" s="7" t="inlineStr">
        <is>
          <t>Accumulation status</t>
        </is>
      </c>
      <c r="B12" s="6" t="inlineStr">
        <is>
          <t>WARNING</t>
        </is>
      </c>
    </row>
    <row r="13">
      <c r="A13" s="7" t="inlineStr">
        <is>
          <t>Income selected draw year 1</t>
        </is>
      </c>
      <c r="B13" s="11" t="n">
        <v>50000</v>
      </c>
    </row>
    <row r="14">
      <c r="A14" s="7" t="inlineStr">
        <is>
          <t>Income funded year 1</t>
        </is>
      </c>
      <c r="B14" s="11" t="n">
        <v>42000</v>
      </c>
    </row>
    <row r="15">
      <c r="A15" s="7" t="inlineStr">
        <is>
          <t>Income shortfall year 1</t>
        </is>
      </c>
      <c r="B15" s="11" t="n">
        <v>8000</v>
      </c>
    </row>
    <row r="16">
      <c r="A16" s="7" t="inlineStr">
        <is>
          <t>Income ending debt</t>
        </is>
      </c>
      <c r="B16" s="11" t="n">
        <v>99033.80302200002</v>
      </c>
    </row>
    <row r="17">
      <c r="A17" s="7" t="inlineStr">
        <is>
          <t>Income ending net BTC</t>
        </is>
      </c>
      <c r="B17" s="13" t="n">
        <v>0.3494366162999996</v>
      </c>
    </row>
    <row r="18">
      <c r="A18" s="7" t="inlineStr">
        <is>
          <t>Income status</t>
        </is>
      </c>
      <c r="B18" s="6" t="inlineStr">
        <is>
          <t>LIQUIDATED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Audit Examples</t>
        </is>
      </c>
    </row>
    <row r="2"/>
    <row r="3">
      <c r="A3" s="2" t="inlineStr">
        <is>
          <t>Audit Check</t>
        </is>
      </c>
      <c r="B3" s="2" t="inlineStr">
        <is>
          <t>Expected / Model Value</t>
        </is>
      </c>
    </row>
    <row r="4">
      <c r="A4" s="7" t="inlineStr">
        <is>
          <t>Starting BTC</t>
        </is>
      </c>
      <c r="B4" s="13" t="n">
        <v>2</v>
      </c>
    </row>
    <row r="5">
      <c r="A5" s="7" t="inlineStr">
        <is>
          <t>Target effective LTV</t>
        </is>
      </c>
      <c r="B5" s="12" t="n">
        <v>0.25</v>
      </c>
    </row>
    <row r="6">
      <c r="A6" s="7" t="inlineStr">
        <is>
          <t>Final collateral BTC</t>
        </is>
      </c>
      <c r="B6" s="13" t="n">
        <v>2.666666666666667</v>
      </c>
    </row>
    <row r="7">
      <c r="A7" s="7" t="inlineStr">
        <is>
          <t>BTC purchased</t>
        </is>
      </c>
      <c r="B7" s="13" t="n">
        <v>0.6666666666666665</v>
      </c>
    </row>
    <row r="8">
      <c r="A8" s="7" t="inlineStr">
        <is>
          <t>Debt</t>
        </is>
      </c>
      <c r="B8" s="11" t="n">
        <v>40000</v>
      </c>
    </row>
    <row r="9">
      <c r="A9" s="7" t="inlineStr">
        <is>
          <t>Effective LTV</t>
        </is>
      </c>
      <c r="B9" s="12" t="n">
        <v>0.25</v>
      </c>
    </row>
    <row r="10">
      <c r="A10" s="7" t="inlineStr">
        <is>
          <t>Liquidation price</t>
        </is>
      </c>
      <c r="B10" s="11" t="n">
        <v>20000</v>
      </c>
    </row>
    <row r="11"/>
    <row r="12"/>
    <row r="13">
      <c r="A13" s="3" t="inlineStr">
        <is>
          <t>Double-loop / 30.6% effective LTV example</t>
        </is>
      </c>
    </row>
    <row r="14">
      <c r="A14" s="7" t="inlineStr">
        <is>
          <t>Starting BTC</t>
        </is>
      </c>
      <c r="B14" s="13" t="n">
        <v>2</v>
      </c>
    </row>
    <row r="15">
      <c r="A15" s="7" t="inlineStr">
        <is>
          <t>BTC price</t>
        </is>
      </c>
      <c r="B15" s="11" t="n">
        <v>60000</v>
      </c>
    </row>
    <row r="16">
      <c r="A16" s="7" t="inlineStr">
        <is>
          <t>Gross BTC ≈</t>
        </is>
      </c>
      <c r="B16" s="13" t="n">
        <v>2.883</v>
      </c>
    </row>
    <row r="17">
      <c r="A17" s="7" t="inlineStr">
        <is>
          <t>Effective LTV ≈</t>
        </is>
      </c>
      <c r="B17" s="12" t="n">
        <v>0.306</v>
      </c>
    </row>
    <row r="18">
      <c r="A18" s="7" t="inlineStr">
        <is>
          <t>Debt ≈</t>
        </is>
      </c>
      <c r="B18" s="11" t="n">
        <v>53000</v>
      </c>
    </row>
    <row r="19"/>
    <row r="20">
      <c r="A20" s="3" t="inlineStr">
        <is>
          <t>Income capacity example</t>
        </is>
      </c>
    </row>
    <row r="21">
      <c r="A21" s="7" t="inlineStr">
        <is>
          <t>Collateral BTC</t>
        </is>
      </c>
      <c r="B21" s="13" t="n">
        <v>2</v>
      </c>
    </row>
    <row r="22">
      <c r="A22" s="7" t="inlineStr">
        <is>
          <t>BTC price</t>
        </is>
      </c>
      <c r="B22" s="11" t="n">
        <v>100000</v>
      </c>
    </row>
    <row r="23">
      <c r="A23" s="7" t="inlineStr">
        <is>
          <t>Existing debt</t>
        </is>
      </c>
      <c r="B23" s="11" t="n">
        <v>30000</v>
      </c>
    </row>
    <row r="24">
      <c r="A24" s="7" t="inlineStr">
        <is>
          <t>Income LTV ceiling</t>
        </is>
      </c>
      <c r="B24" s="12" t="n">
        <v>0.35</v>
      </c>
    </row>
    <row r="25">
      <c r="A25" s="7" t="inlineStr">
        <is>
          <t>Selected income draw</t>
        </is>
      </c>
      <c r="B25" s="11" t="n">
        <v>50000</v>
      </c>
    </row>
    <row r="26">
      <c r="A26" s="7" t="inlineStr">
        <is>
          <t>Max safe debt</t>
        </is>
      </c>
      <c r="B26" s="11" t="n">
        <v>70000</v>
      </c>
    </row>
    <row r="27">
      <c r="A27" s="7" t="inlineStr">
        <is>
          <t>Income borrowed</t>
        </is>
      </c>
      <c r="B27" s="11" t="n">
        <v>40000</v>
      </c>
    </row>
    <row r="28">
      <c r="A28" s="7" t="inlineStr">
        <is>
          <t>Unfunded income</t>
        </is>
      </c>
      <c r="B28" s="11" t="n">
        <v>10000</v>
      </c>
    </row>
    <row r="29">
      <c r="A29" s="7" t="inlineStr">
        <is>
          <t>Debt end</t>
        </is>
      </c>
      <c r="B29" s="11" t="n">
        <v>70000</v>
      </c>
    </row>
  </sheetData>
  <mergeCells count="3">
    <mergeCell ref="A13:B13"/>
    <mergeCell ref="A20:B2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2026-05-29T14:15:14Z</dcterms:created>
  <dcterms:modified xsi:type="dcterms:W3CDTF">2026-05-29T14:15:14Z</dcterms:modified>
</cp:coreProperties>
</file>