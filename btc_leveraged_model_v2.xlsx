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Price Projection" sheetId="2" state="visible" r:id="rId2"/>
    <sheet name="Accumulation Engine" sheetId="3" state="visible" r:id="rId3"/>
    <sheet name="Income Engine" sheetId="4" state="visible" r:id="rId4"/>
    <sheet name="Risk Alerts" sheetId="5" state="visible" r:id="rId5"/>
    <sheet name="Summary" sheetId="6" state="visible" r:id="rId6"/>
    <sheet name="Audit Examples" sheetId="7" state="visible" r:id="rId7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000000"/>
  </numFmts>
  <fonts count="6">
    <font>
      <name val="Calibri"/>
      <family val="2"/>
      <color theme="1"/>
      <sz val="11"/>
      <scheme val="minor"/>
    </font>
    <font>
      <name val="Calibri"/>
      <b val="1"/>
      <color rgb="00023D4B"/>
      <sz val="18"/>
    </font>
    <font>
      <name val="Calibri"/>
      <b val="1"/>
      <color rgb="00FFFFFF"/>
      <sz val="11"/>
    </font>
    <font>
      <name val="Calibri"/>
      <b val="1"/>
      <color rgb="00023D4B"/>
      <sz val="12"/>
    </font>
    <font>
      <name val="Calibri"/>
      <color rgb="00333333"/>
      <sz val="11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00023D4B"/>
        <bgColor rgb="00023D4B"/>
      </patternFill>
    </fill>
    <fill>
      <patternFill patternType="solid">
        <fgColor rgb="00D1ECF1"/>
        <bgColor rgb="00D1ECF1"/>
      </patternFill>
    </fill>
    <fill>
      <patternFill patternType="solid">
        <fgColor rgb="00F6F6F6"/>
        <bgColor rgb="00F6F6F6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1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2" customWidth="1" min="3" max="3"/>
    <col width="28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BTC-Backed Loan Model v2 Inputs</t>
        </is>
      </c>
    </row>
    <row r="2"/>
    <row r="3">
      <c r="A3" s="2" t="inlineStr">
        <is>
          <t>Input</t>
        </is>
      </c>
      <c r="B3" s="2" t="inlineStr">
        <is>
          <t>Value</t>
        </is>
      </c>
      <c r="C3" s="2" t="inlineStr">
        <is>
          <t>Unit</t>
        </is>
      </c>
      <c r="D3" s="2" t="inlineStr">
        <is>
          <t>Notes</t>
        </is>
      </c>
    </row>
    <row r="4">
      <c r="A4" s="3" t="inlineStr">
        <is>
          <t>Shared</t>
        </is>
      </c>
    </row>
    <row r="5">
      <c r="A5" s="4" t="inlineStr">
        <is>
          <t>Current BTC Price</t>
        </is>
      </c>
      <c r="B5" s="5" t="n">
        <v>60000</v>
      </c>
      <c r="C5" s="6" t="inlineStr">
        <is>
          <t>USD</t>
        </is>
      </c>
      <c r="D5" s="7" t="inlineStr">
        <is>
          <t>Year 0 price; feeds Price Projection</t>
        </is>
      </c>
    </row>
    <row r="6">
      <c r="A6" s="4" t="inlineStr">
        <is>
          <t>Annual BTC Price Growth</t>
        </is>
      </c>
      <c r="B6" s="8" t="n">
        <v>0</v>
      </c>
      <c r="C6" s="6" t="inlineStr">
        <is>
          <t>%</t>
        </is>
      </c>
      <c r="D6" s="7" t="inlineStr">
        <is>
          <t>Editable flat/default projection growth rate</t>
        </is>
      </c>
    </row>
    <row r="7">
      <c r="A7" s="4" t="inlineStr">
        <is>
          <t>Starting BTC</t>
        </is>
      </c>
      <c r="B7" s="9" t="n">
        <v>2</v>
      </c>
      <c r="C7" s="6" t="inlineStr">
        <is>
          <t>BTC</t>
        </is>
      </c>
      <c r="D7" s="7" t="inlineStr">
        <is>
          <t>Collateral used by both engines</t>
        </is>
      </c>
    </row>
    <row r="8">
      <c r="A8" s="4" t="inlineStr">
        <is>
          <t>Borrow APR</t>
        </is>
      </c>
      <c r="B8" s="8" t="n">
        <v>0.1</v>
      </c>
      <c r="C8" s="6" t="inlineStr">
        <is>
          <t>%</t>
        </is>
      </c>
      <c r="D8" s="7" t="inlineStr">
        <is>
          <t>Interest accrues on start-of-row debt</t>
        </is>
      </c>
    </row>
    <row r="9">
      <c r="A9" s="4" t="inlineStr">
        <is>
          <t>Interest Treatment</t>
        </is>
      </c>
      <c r="B9" s="10" t="inlineStr">
        <is>
          <t>capitalized</t>
        </is>
      </c>
      <c r="C9" s="6" t="inlineStr">
        <is>
          <t>choice</t>
        </is>
      </c>
      <c r="D9" s="7" t="inlineStr">
        <is>
          <t>capitalized or paid externally</t>
        </is>
      </c>
    </row>
    <row r="10">
      <c r="A10" s="4" t="inlineStr">
        <is>
          <t>Margin Call LTV</t>
        </is>
      </c>
      <c r="B10" s="8" t="n">
        <v>0.7</v>
      </c>
      <c r="C10" s="6" t="inlineStr">
        <is>
          <t>%</t>
        </is>
      </c>
      <c r="D10" s="7" t="inlineStr">
        <is>
          <t>Risk threshold</t>
        </is>
      </c>
    </row>
    <row r="11">
      <c r="A11" s="4" t="inlineStr">
        <is>
          <t>Liquidation LTV</t>
        </is>
      </c>
      <c r="B11" s="8" t="n">
        <v>0.75</v>
      </c>
      <c r="C11" s="6" t="inlineStr">
        <is>
          <t>%</t>
        </is>
      </c>
      <c r="D11" s="7" t="inlineStr">
        <is>
          <t>Risk threshold</t>
        </is>
      </c>
    </row>
    <row r="12">
      <c r="A12" s="4" t="inlineStr">
        <is>
          <t>Minimum Liquidation Buffer</t>
        </is>
      </c>
      <c r="B12" s="8" t="n">
        <v>0.5</v>
      </c>
      <c r="C12" s="6" t="inlineStr">
        <is>
          <t>%</t>
        </is>
      </c>
      <c r="D12" s="7" t="inlineStr">
        <is>
          <t>Required price-drop buffer</t>
        </is>
      </c>
    </row>
    <row r="13">
      <c r="A13" s="3" t="inlineStr">
        <is>
          <t>Accumulation</t>
        </is>
      </c>
    </row>
    <row r="14">
      <c r="A14" s="4" t="inlineStr">
        <is>
          <t>Target Effective LTV</t>
        </is>
      </c>
      <c r="B14" s="8" t="n">
        <v>0.25</v>
      </c>
      <c r="C14" s="6" t="inlineStr">
        <is>
          <t>%</t>
        </is>
      </c>
      <c r="D14" s="7" t="inlineStr">
        <is>
          <t>Recursive setup/top-up target</t>
        </is>
      </c>
    </row>
    <row r="15">
      <c r="A15" s="4" t="inlineStr">
        <is>
          <t>Max Effective LTV</t>
        </is>
      </c>
      <c r="B15" s="8" t="n">
        <v>0.35</v>
      </c>
      <c r="C15" s="6" t="inlineStr">
        <is>
          <t>%</t>
        </is>
      </c>
      <c r="D15" s="7" t="inlineStr">
        <is>
          <t>Hard cap</t>
        </is>
      </c>
    </row>
    <row r="16">
      <c r="A16" s="4" t="inlineStr">
        <is>
          <t>Setup Collateral BTC</t>
        </is>
      </c>
      <c r="B16" s="9">
        <f>$B$7/(1-MIN($B$14,$B$15,$B$11*(1-$B$12)))</f>
        <v/>
      </c>
      <c r="C16" s="6" t="inlineStr">
        <is>
          <t>BTC</t>
        </is>
      </c>
      <c r="D16" s="7" t="inlineStr">
        <is>
          <t>Formula output from starting BTC and effective LTV cap</t>
        </is>
      </c>
    </row>
    <row r="17">
      <c r="A17" s="3" t="inlineStr">
        <is>
          <t>Income</t>
        </is>
      </c>
    </row>
    <row r="18">
      <c r="A18" s="4" t="inlineStr">
        <is>
          <t>Max Available Annual Income (Year 1)</t>
        </is>
      </c>
      <c r="B18" s="5">
        <f>MAX(0,$B$7*'Price Projection'!B5*MIN($B$20,$B$11*(1-$B$12)))</f>
        <v/>
      </c>
      <c r="C18" s="6" t="inlineStr">
        <is>
          <t>USD</t>
        </is>
      </c>
      <c r="D18" s="7" t="inlineStr">
        <is>
          <t>Formula output from BTC collateral, LTV ceiling, and liquidation buffer</t>
        </is>
      </c>
    </row>
    <row r="19">
      <c r="A19" s="4" t="inlineStr">
        <is>
          <t>Selected Annual Income Draw</t>
        </is>
      </c>
      <c r="B19" s="5" t="n">
        <v>50000</v>
      </c>
      <c r="C19" s="6" t="inlineStr">
        <is>
          <t>USD</t>
        </is>
      </c>
      <c r="D19" s="7" t="inlineStr">
        <is>
          <t>User-selected draw; capped by max available annual income</t>
        </is>
      </c>
    </row>
    <row r="20">
      <c r="A20" s="4" t="inlineStr">
        <is>
          <t>Income LTV Ceiling</t>
        </is>
      </c>
      <c r="B20" s="8" t="n">
        <v>0.35</v>
      </c>
      <c r="C20" s="6" t="inlineStr">
        <is>
          <t>%</t>
        </is>
      </c>
      <c r="D20" s="7" t="inlineStr">
        <is>
          <t>Safe debt ceiling</t>
        </is>
      </c>
    </row>
    <row r="21">
      <c r="A21" s="4" t="inlineStr">
        <is>
          <t>Setup Collateral BTC</t>
        </is>
      </c>
      <c r="B21" s="9">
        <f>$B$7</f>
        <v/>
      </c>
      <c r="C21" s="6" t="inlineStr">
        <is>
          <t>BTC</t>
        </is>
      </c>
      <c r="D21" s="7" t="inlineStr">
        <is>
          <t>Income keeps BTC constant</t>
        </is>
      </c>
    </row>
    <row r="22">
      <c r="A22" s="3" t="inlineStr">
        <is>
          <t>Advanced Risk</t>
        </is>
      </c>
    </row>
    <row r="23">
      <c r="A23" s="4" t="inlineStr">
        <is>
          <t>Warning LTV</t>
        </is>
      </c>
      <c r="B23" s="8" t="n">
        <v>0.6</v>
      </c>
      <c r="C23" s="6" t="inlineStr">
        <is>
          <t>%</t>
        </is>
      </c>
      <c r="D23" s="7" t="inlineStr">
        <is>
          <t>Status changes to WARNING at or above this LTV</t>
        </is>
      </c>
    </row>
  </sheetData>
  <mergeCells count="5">
    <mergeCell ref="A17:D17"/>
    <mergeCell ref="A22:D22"/>
    <mergeCell ref="A4:D4"/>
    <mergeCell ref="A1:H1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Price Projection</t>
        </is>
      </c>
    </row>
    <row r="2"/>
    <row r="3">
      <c r="A3" s="2" t="inlineStr">
        <is>
          <t>Year</t>
        </is>
      </c>
      <c r="B3" s="2" t="inlineStr">
        <is>
          <t>BTC Price</t>
        </is>
      </c>
      <c r="C3" s="2" t="inlineStr">
        <is>
          <t>Scenario</t>
        </is>
      </c>
      <c r="D3" s="2" t="inlineStr">
        <is>
          <t>YoY Change</t>
        </is>
      </c>
    </row>
    <row r="4">
      <c r="A4" s="6" t="n">
        <v>0</v>
      </c>
      <c r="B4" s="11">
        <f>'Inputs'!$B$5</f>
        <v/>
      </c>
      <c r="C4" s="6" t="inlineStr">
        <is>
          <t>Editable formula projection</t>
        </is>
      </c>
      <c r="D4" s="12" t="n">
        <v>0</v>
      </c>
    </row>
    <row r="5">
      <c r="A5" s="6" t="n">
        <v>1</v>
      </c>
      <c r="B5" s="11">
        <f>B4*(1+'Inputs'!$B$6)</f>
        <v/>
      </c>
      <c r="C5" s="6" t="inlineStr">
        <is>
          <t>Editable formula projection</t>
        </is>
      </c>
      <c r="D5" s="12">
        <f>B5/B4-1</f>
        <v/>
      </c>
    </row>
    <row r="6">
      <c r="A6" s="6" t="n">
        <v>2</v>
      </c>
      <c r="B6" s="11">
        <f>B5*(1+'Inputs'!$B$6)</f>
        <v/>
      </c>
      <c r="C6" s="6" t="inlineStr">
        <is>
          <t>Editable formula projection</t>
        </is>
      </c>
      <c r="D6" s="12">
        <f>B6/B5-1</f>
        <v/>
      </c>
    </row>
    <row r="7">
      <c r="A7" s="6" t="n">
        <v>3</v>
      </c>
      <c r="B7" s="11">
        <f>B6*(1+'Inputs'!$B$6)</f>
        <v/>
      </c>
      <c r="C7" s="6" t="inlineStr">
        <is>
          <t>Editable formula projection</t>
        </is>
      </c>
      <c r="D7" s="12">
        <f>B7/B6-1</f>
        <v/>
      </c>
    </row>
    <row r="8">
      <c r="A8" s="6" t="n">
        <v>4</v>
      </c>
      <c r="B8" s="11">
        <f>B7*(1+'Inputs'!$B$6)</f>
        <v/>
      </c>
      <c r="C8" s="6" t="inlineStr">
        <is>
          <t>Editable formula projection</t>
        </is>
      </c>
      <c r="D8" s="12">
        <f>B8/B7-1</f>
        <v/>
      </c>
    </row>
    <row r="9">
      <c r="A9" s="6" t="n">
        <v>5</v>
      </c>
      <c r="B9" s="11">
        <f>B8*(1+'Inputs'!$B$6)</f>
        <v/>
      </c>
      <c r="C9" s="6" t="inlineStr">
        <is>
          <t>Editable formula projection</t>
        </is>
      </c>
      <c r="D9" s="12">
        <f>B9/B8-1</f>
        <v/>
      </c>
    </row>
    <row r="10">
      <c r="A10" s="6" t="n">
        <v>6</v>
      </c>
      <c r="B10" s="11">
        <f>B9*(1+'Inputs'!$B$6)</f>
        <v/>
      </c>
      <c r="C10" s="6" t="inlineStr">
        <is>
          <t>Editable formula projection</t>
        </is>
      </c>
      <c r="D10" s="12">
        <f>B10/B9-1</f>
        <v/>
      </c>
    </row>
    <row r="11">
      <c r="A11" s="6" t="n">
        <v>7</v>
      </c>
      <c r="B11" s="11">
        <f>B10*(1+'Inputs'!$B$6)</f>
        <v/>
      </c>
      <c r="C11" s="6" t="inlineStr">
        <is>
          <t>Editable formula projection</t>
        </is>
      </c>
      <c r="D11" s="12">
        <f>B11/B10-1</f>
        <v/>
      </c>
    </row>
    <row r="12">
      <c r="A12" s="6" t="n">
        <v>8</v>
      </c>
      <c r="B12" s="11">
        <f>B11*(1+'Inputs'!$B$6)</f>
        <v/>
      </c>
      <c r="C12" s="6" t="inlineStr">
        <is>
          <t>Editable formula projection</t>
        </is>
      </c>
      <c r="D12" s="12">
        <f>B12/B11-1</f>
        <v/>
      </c>
    </row>
    <row r="13">
      <c r="A13" s="6" t="n">
        <v>9</v>
      </c>
      <c r="B13" s="11">
        <f>B12*(1+'Inputs'!$B$6)</f>
        <v/>
      </c>
      <c r="C13" s="6" t="inlineStr">
        <is>
          <t>Editable formula projection</t>
        </is>
      </c>
      <c r="D13" s="12">
        <f>B13/B12-1</f>
        <v/>
      </c>
    </row>
    <row r="14">
      <c r="A14" s="6" t="n">
        <v>10</v>
      </c>
      <c r="B14" s="11">
        <f>B13*(1+'Inputs'!$B$6)</f>
        <v/>
      </c>
      <c r="C14" s="6" t="inlineStr">
        <is>
          <t>Editable formula projection</t>
        </is>
      </c>
      <c r="D14" s="12">
        <f>B14/B13-1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8" customWidth="1" min="1" max="1"/>
    <col width="25" customWidth="1" min="2" max="2"/>
    <col width="25" customWidth="1" min="3" max="3"/>
    <col width="15" customWidth="1" min="4" max="4"/>
    <col width="20" customWidth="1" min="5" max="5"/>
    <col width="28" customWidth="1" min="6" max="6"/>
    <col width="28" customWidth="1" min="7" max="7"/>
    <col width="28" customWidth="1" min="8" max="8"/>
    <col width="12" customWidth="1" min="9" max="9"/>
    <col width="23" customWidth="1" min="10" max="10"/>
    <col width="13" customWidth="1" min="11" max="11"/>
    <col width="16" customWidth="1" min="12" max="12"/>
    <col width="21" customWidth="1" min="13" max="13"/>
    <col width="20" customWidth="1" min="14" max="14"/>
    <col width="22" customWidth="1" min="15" max="15"/>
    <col width="16" customWidth="1" min="16" max="16"/>
    <col width="28" customWidth="1" min="17" max="17"/>
    <col width="20" customWidth="1" min="18" max="18"/>
    <col width="28" customWidth="1" min="19" max="19"/>
    <col width="28" customWidth="1" min="20" max="20"/>
    <col width="25" customWidth="1" min="21" max="21"/>
    <col width="28" customWidth="1" min="22" max="22"/>
  </cols>
  <sheetData>
    <row r="1">
      <c r="A1" s="1" t="inlineStr">
        <is>
          <t>Accumulation Engine — Recursive BTC Leverage</t>
        </is>
      </c>
    </row>
    <row r="2"/>
    <row r="3">
      <c r="A3" s="2" t="inlineStr">
        <is>
          <t>Year</t>
        </is>
      </c>
      <c r="B3" s="2" t="inlineStr">
        <is>
          <t>BTC Price</t>
        </is>
      </c>
      <c r="C3" s="2" t="inlineStr">
        <is>
          <t>Starting Collateral BTC</t>
        </is>
      </c>
      <c r="D3" s="2" t="inlineStr">
        <is>
          <t>Starting Debt</t>
        </is>
      </c>
      <c r="E3" s="2" t="inlineStr">
        <is>
          <t>Interest Accrued</t>
        </is>
      </c>
      <c r="F3" s="2" t="inlineStr">
        <is>
          <t>Debt After Interest</t>
        </is>
      </c>
      <c r="G3" s="2" t="inlineStr">
        <is>
          <t>Pre-Action LTV</t>
        </is>
      </c>
      <c r="H3" s="2" t="inlineStr">
        <is>
          <t>New Borrowing</t>
        </is>
      </c>
      <c r="I3" s="2" t="inlineStr">
        <is>
          <t>BTC Bought</t>
        </is>
      </c>
      <c r="J3" s="2" t="inlineStr">
        <is>
          <t>Ending Collateral BTC</t>
        </is>
      </c>
      <c r="K3" s="2" t="inlineStr">
        <is>
          <t>Ending Debt</t>
        </is>
      </c>
      <c r="L3" s="2" t="inlineStr">
        <is>
          <t>Gross BTC Held</t>
        </is>
      </c>
      <c r="M3" s="2" t="inlineStr">
        <is>
          <t>Debt BTC Equivalent</t>
        </is>
      </c>
      <c r="N3" s="2" t="inlineStr">
        <is>
          <t>Net BTC After Debt</t>
        </is>
      </c>
      <c r="O3" s="2" t="inlineStr">
        <is>
          <t>Extra BTC vs Passive</t>
        </is>
      </c>
      <c r="P3" s="2" t="inlineStr">
        <is>
          <t>Net Equity USD</t>
        </is>
      </c>
      <c r="Q3" s="2" t="inlineStr">
        <is>
          <t>Effective LTV End</t>
        </is>
      </c>
      <c r="R3" s="2" t="inlineStr">
        <is>
          <t>Leverage Multiple</t>
        </is>
      </c>
      <c r="S3" s="2" t="inlineStr">
        <is>
          <t>Margin-Call Price</t>
        </is>
      </c>
      <c r="T3" s="2" t="inlineStr">
        <is>
          <t>Liquidation Price</t>
        </is>
      </c>
      <c r="U3" s="2" t="inlineStr">
        <is>
          <t>Drop to Liquidation</t>
        </is>
      </c>
      <c r="V3" s="2" t="inlineStr">
        <is>
          <t>Risk Status</t>
        </is>
      </c>
    </row>
    <row r="4">
      <c r="A4" s="6" t="n">
        <v>0</v>
      </c>
      <c r="B4" s="11">
        <f>'Price Projection'!B4</f>
        <v/>
      </c>
      <c r="C4" s="13">
        <f>'Inputs'!$B$7</f>
        <v/>
      </c>
      <c r="D4" s="11" t="n">
        <v>0</v>
      </c>
      <c r="E4" s="11" t="n">
        <v>0</v>
      </c>
      <c r="F4" s="11">
        <f>D4+E4</f>
        <v/>
      </c>
      <c r="G4" s="12">
        <f>IF(C4*B4=0,0,F4/(C4*B4))</f>
        <v/>
      </c>
      <c r="H4" s="11">
        <f>MAX(0,(MIN('Inputs'!$B$14,'Inputs'!$B$15,'Inputs'!$B$11*(1-'Inputs'!$B$12))*C4*B4-F4)/(1-MIN('Inputs'!$B$14,'Inputs'!$B$15,'Inputs'!$B$11*(1-'Inputs'!$B$12))))</f>
        <v/>
      </c>
      <c r="I4" s="13">
        <f>H4/B4</f>
        <v/>
      </c>
      <c r="J4" s="13">
        <f>C4+I4</f>
        <v/>
      </c>
      <c r="K4" s="11">
        <f>F4+H4</f>
        <v/>
      </c>
      <c r="L4" s="13">
        <f>J4</f>
        <v/>
      </c>
      <c r="M4" s="13">
        <f>K4/B4</f>
        <v/>
      </c>
      <c r="N4" s="13">
        <f>L4-M4</f>
        <v/>
      </c>
      <c r="O4" s="13">
        <f>L4-'Inputs'!$B$7</f>
        <v/>
      </c>
      <c r="P4" s="11">
        <f>L4*B4-K4</f>
        <v/>
      </c>
      <c r="Q4" s="12">
        <f>IF(J4*B4=0,0,K4/(J4*B4))</f>
        <v/>
      </c>
      <c r="R4" s="6">
        <f>L4/'Inputs'!$B$7</f>
        <v/>
      </c>
      <c r="S4" s="11">
        <f>IF(K4=0,0,K4/(J4*'Inputs'!$B$10))</f>
        <v/>
      </c>
      <c r="T4" s="11">
        <f>IF(K4=0,0,K4/(J4*'Inputs'!$B$11))</f>
        <v/>
      </c>
      <c r="U4" s="12">
        <f>IF(T4&lt;=0,0,1-T4/B4)</f>
        <v/>
      </c>
      <c r="V4" s="6">
        <f>IF(Q4=0,"SAFE",IF(Q4&gt;='Inputs'!$B$11,"LIQUIDATED",IF(Q4&gt;='Inputs'!$B$10,"MARGIN CALL",IF(OR(Q4&gt;='Inputs'!$B$23,U4&lt;'Inputs'!$B$12),"WARNING","SAFE"))))</f>
        <v/>
      </c>
    </row>
    <row r="5">
      <c r="A5" s="6" t="n">
        <v>1</v>
      </c>
      <c r="B5" s="11">
        <f>'Price Projection'!B5</f>
        <v/>
      </c>
      <c r="C5" s="13">
        <f>J4</f>
        <v/>
      </c>
      <c r="D5" s="11">
        <f>K4</f>
        <v/>
      </c>
      <c r="E5" s="11">
        <f>D5*'Inputs'!$B$8</f>
        <v/>
      </c>
      <c r="F5" s="11">
        <f>IF('Inputs'!$B$9="capitalized",D5+E5,D5)</f>
        <v/>
      </c>
      <c r="G5" s="12">
        <f>IF(C5*B5=0,0,F5/(C5*B5))</f>
        <v/>
      </c>
      <c r="H5" s="11">
        <f>IF(G5&gt;='Inputs'!$B$10,0,MAX(0,(MIN('Inputs'!$B$14,'Inputs'!$B$15,'Inputs'!$B$11*(1-'Inputs'!$B$12))*C5*B5-F5)/(1-MIN('Inputs'!$B$14,'Inputs'!$B$15,'Inputs'!$B$11*(1-'Inputs'!$B$12)))))</f>
        <v/>
      </c>
      <c r="I5" s="13">
        <f>H5/B5</f>
        <v/>
      </c>
      <c r="J5" s="13">
        <f>C5+I5</f>
        <v/>
      </c>
      <c r="K5" s="11">
        <f>F5+H5</f>
        <v/>
      </c>
      <c r="L5" s="13">
        <f>J5</f>
        <v/>
      </c>
      <c r="M5" s="13">
        <f>K5/B5</f>
        <v/>
      </c>
      <c r="N5" s="13">
        <f>L5-M5</f>
        <v/>
      </c>
      <c r="O5" s="13">
        <f>L5-'Inputs'!$B$7</f>
        <v/>
      </c>
      <c r="P5" s="11">
        <f>L5*B5-K5</f>
        <v/>
      </c>
      <c r="Q5" s="12">
        <f>IF(J5*B5=0,0,K5/(J5*B5))</f>
        <v/>
      </c>
      <c r="R5" s="6">
        <f>L5/'Inputs'!$B$7</f>
        <v/>
      </c>
      <c r="S5" s="11">
        <f>IF(K5=0,0,K5/(J5*'Inputs'!$B$10))</f>
        <v/>
      </c>
      <c r="T5" s="11">
        <f>IF(K5=0,0,K5/(J5*'Inputs'!$B$11))</f>
        <v/>
      </c>
      <c r="U5" s="12">
        <f>IF(T5&lt;=0,0,1-T5/B5)</f>
        <v/>
      </c>
      <c r="V5" s="6">
        <f>IF(Q5=0,"SAFE",IF(Q5&gt;='Inputs'!$B$11,"LIQUIDATED",IF(Q5&gt;='Inputs'!$B$10,"MARGIN CALL",IF(OR(Q5&gt;='Inputs'!$B$23,U5&lt;'Inputs'!$B$12),"WARNING","SAFE"))))</f>
        <v/>
      </c>
    </row>
    <row r="6">
      <c r="A6" s="6" t="n">
        <v>2</v>
      </c>
      <c r="B6" s="11">
        <f>'Price Projection'!B6</f>
        <v/>
      </c>
      <c r="C6" s="13">
        <f>J5</f>
        <v/>
      </c>
      <c r="D6" s="11">
        <f>K5</f>
        <v/>
      </c>
      <c r="E6" s="11">
        <f>D6*'Inputs'!$B$8</f>
        <v/>
      </c>
      <c r="F6" s="11">
        <f>IF('Inputs'!$B$9="capitalized",D6+E6,D6)</f>
        <v/>
      </c>
      <c r="G6" s="12">
        <f>IF(C6*B6=0,0,F6/(C6*B6))</f>
        <v/>
      </c>
      <c r="H6" s="11">
        <f>IF(G6&gt;='Inputs'!$B$10,0,MAX(0,(MIN('Inputs'!$B$14,'Inputs'!$B$15,'Inputs'!$B$11*(1-'Inputs'!$B$12))*C6*B6-F6)/(1-MIN('Inputs'!$B$14,'Inputs'!$B$15,'Inputs'!$B$11*(1-'Inputs'!$B$12)))))</f>
        <v/>
      </c>
      <c r="I6" s="13">
        <f>H6/B6</f>
        <v/>
      </c>
      <c r="J6" s="13">
        <f>C6+I6</f>
        <v/>
      </c>
      <c r="K6" s="11">
        <f>F6+H6</f>
        <v/>
      </c>
      <c r="L6" s="13">
        <f>J6</f>
        <v/>
      </c>
      <c r="M6" s="13">
        <f>K6/B6</f>
        <v/>
      </c>
      <c r="N6" s="13">
        <f>L6-M6</f>
        <v/>
      </c>
      <c r="O6" s="13">
        <f>L6-'Inputs'!$B$7</f>
        <v/>
      </c>
      <c r="P6" s="11">
        <f>L6*B6-K6</f>
        <v/>
      </c>
      <c r="Q6" s="12">
        <f>IF(J6*B6=0,0,K6/(J6*B6))</f>
        <v/>
      </c>
      <c r="R6" s="6">
        <f>L6/'Inputs'!$B$7</f>
        <v/>
      </c>
      <c r="S6" s="11">
        <f>IF(K6=0,0,K6/(J6*'Inputs'!$B$10))</f>
        <v/>
      </c>
      <c r="T6" s="11">
        <f>IF(K6=0,0,K6/(J6*'Inputs'!$B$11))</f>
        <v/>
      </c>
      <c r="U6" s="12">
        <f>IF(T6&lt;=0,0,1-T6/B6)</f>
        <v/>
      </c>
      <c r="V6" s="6">
        <f>IF(Q6=0,"SAFE",IF(Q6&gt;='Inputs'!$B$11,"LIQUIDATED",IF(Q6&gt;='Inputs'!$B$10,"MARGIN CALL",IF(OR(Q6&gt;='Inputs'!$B$23,U6&lt;'Inputs'!$B$12),"WARNING","SAFE"))))</f>
        <v/>
      </c>
    </row>
    <row r="7">
      <c r="A7" s="6" t="n">
        <v>3</v>
      </c>
      <c r="B7" s="11">
        <f>'Price Projection'!B7</f>
        <v/>
      </c>
      <c r="C7" s="13">
        <f>J6</f>
        <v/>
      </c>
      <c r="D7" s="11">
        <f>K6</f>
        <v/>
      </c>
      <c r="E7" s="11">
        <f>D7*'Inputs'!$B$8</f>
        <v/>
      </c>
      <c r="F7" s="11">
        <f>IF('Inputs'!$B$9="capitalized",D7+E7,D7)</f>
        <v/>
      </c>
      <c r="G7" s="12">
        <f>IF(C7*B7=0,0,F7/(C7*B7))</f>
        <v/>
      </c>
      <c r="H7" s="11">
        <f>IF(G7&gt;='Inputs'!$B$10,0,MAX(0,(MIN('Inputs'!$B$14,'Inputs'!$B$15,'Inputs'!$B$11*(1-'Inputs'!$B$12))*C7*B7-F7)/(1-MIN('Inputs'!$B$14,'Inputs'!$B$15,'Inputs'!$B$11*(1-'Inputs'!$B$12)))))</f>
        <v/>
      </c>
      <c r="I7" s="13">
        <f>H7/B7</f>
        <v/>
      </c>
      <c r="J7" s="13">
        <f>C7+I7</f>
        <v/>
      </c>
      <c r="K7" s="11">
        <f>F7+H7</f>
        <v/>
      </c>
      <c r="L7" s="13">
        <f>J7</f>
        <v/>
      </c>
      <c r="M7" s="13">
        <f>K7/B7</f>
        <v/>
      </c>
      <c r="N7" s="13">
        <f>L7-M7</f>
        <v/>
      </c>
      <c r="O7" s="13">
        <f>L7-'Inputs'!$B$7</f>
        <v/>
      </c>
      <c r="P7" s="11">
        <f>L7*B7-K7</f>
        <v/>
      </c>
      <c r="Q7" s="12">
        <f>IF(J7*B7=0,0,K7/(J7*B7))</f>
        <v/>
      </c>
      <c r="R7" s="6">
        <f>L7/'Inputs'!$B$7</f>
        <v/>
      </c>
      <c r="S7" s="11">
        <f>IF(K7=0,0,K7/(J7*'Inputs'!$B$10))</f>
        <v/>
      </c>
      <c r="T7" s="11">
        <f>IF(K7=0,0,K7/(J7*'Inputs'!$B$11))</f>
        <v/>
      </c>
      <c r="U7" s="12">
        <f>IF(T7&lt;=0,0,1-T7/B7)</f>
        <v/>
      </c>
      <c r="V7" s="6">
        <f>IF(Q7=0,"SAFE",IF(Q7&gt;='Inputs'!$B$11,"LIQUIDATED",IF(Q7&gt;='Inputs'!$B$10,"MARGIN CALL",IF(OR(Q7&gt;='Inputs'!$B$23,U7&lt;'Inputs'!$B$12),"WARNING","SAFE"))))</f>
        <v/>
      </c>
    </row>
    <row r="8">
      <c r="A8" s="6" t="n">
        <v>4</v>
      </c>
      <c r="B8" s="11">
        <f>'Price Projection'!B8</f>
        <v/>
      </c>
      <c r="C8" s="13">
        <f>J7</f>
        <v/>
      </c>
      <c r="D8" s="11">
        <f>K7</f>
        <v/>
      </c>
      <c r="E8" s="11">
        <f>D8*'Inputs'!$B$8</f>
        <v/>
      </c>
      <c r="F8" s="11">
        <f>IF('Inputs'!$B$9="capitalized",D8+E8,D8)</f>
        <v/>
      </c>
      <c r="G8" s="12">
        <f>IF(C8*B8=0,0,F8/(C8*B8))</f>
        <v/>
      </c>
      <c r="H8" s="11">
        <f>IF(G8&gt;='Inputs'!$B$10,0,MAX(0,(MIN('Inputs'!$B$14,'Inputs'!$B$15,'Inputs'!$B$11*(1-'Inputs'!$B$12))*C8*B8-F8)/(1-MIN('Inputs'!$B$14,'Inputs'!$B$15,'Inputs'!$B$11*(1-'Inputs'!$B$12)))))</f>
        <v/>
      </c>
      <c r="I8" s="13">
        <f>H8/B8</f>
        <v/>
      </c>
      <c r="J8" s="13">
        <f>C8+I8</f>
        <v/>
      </c>
      <c r="K8" s="11">
        <f>F8+H8</f>
        <v/>
      </c>
      <c r="L8" s="13">
        <f>J8</f>
        <v/>
      </c>
      <c r="M8" s="13">
        <f>K8/B8</f>
        <v/>
      </c>
      <c r="N8" s="13">
        <f>L8-M8</f>
        <v/>
      </c>
      <c r="O8" s="13">
        <f>L8-'Inputs'!$B$7</f>
        <v/>
      </c>
      <c r="P8" s="11">
        <f>L8*B8-K8</f>
        <v/>
      </c>
      <c r="Q8" s="12">
        <f>IF(J8*B8=0,0,K8/(J8*B8))</f>
        <v/>
      </c>
      <c r="R8" s="6">
        <f>L8/'Inputs'!$B$7</f>
        <v/>
      </c>
      <c r="S8" s="11">
        <f>IF(K8=0,0,K8/(J8*'Inputs'!$B$10))</f>
        <v/>
      </c>
      <c r="T8" s="11">
        <f>IF(K8=0,0,K8/(J8*'Inputs'!$B$11))</f>
        <v/>
      </c>
      <c r="U8" s="12">
        <f>IF(T8&lt;=0,0,1-T8/B8)</f>
        <v/>
      </c>
      <c r="V8" s="6">
        <f>IF(Q8=0,"SAFE",IF(Q8&gt;='Inputs'!$B$11,"LIQUIDATED",IF(Q8&gt;='Inputs'!$B$10,"MARGIN CALL",IF(OR(Q8&gt;='Inputs'!$B$23,U8&lt;'Inputs'!$B$12),"WARNING","SAFE"))))</f>
        <v/>
      </c>
    </row>
    <row r="9">
      <c r="A9" s="6" t="n">
        <v>5</v>
      </c>
      <c r="B9" s="11">
        <f>'Price Projection'!B9</f>
        <v/>
      </c>
      <c r="C9" s="13">
        <f>J8</f>
        <v/>
      </c>
      <c r="D9" s="11">
        <f>K8</f>
        <v/>
      </c>
      <c r="E9" s="11">
        <f>D9*'Inputs'!$B$8</f>
        <v/>
      </c>
      <c r="F9" s="11">
        <f>IF('Inputs'!$B$9="capitalized",D9+E9,D9)</f>
        <v/>
      </c>
      <c r="G9" s="12">
        <f>IF(C9*B9=0,0,F9/(C9*B9))</f>
        <v/>
      </c>
      <c r="H9" s="11">
        <f>IF(G9&gt;='Inputs'!$B$10,0,MAX(0,(MIN('Inputs'!$B$14,'Inputs'!$B$15,'Inputs'!$B$11*(1-'Inputs'!$B$12))*C9*B9-F9)/(1-MIN('Inputs'!$B$14,'Inputs'!$B$15,'Inputs'!$B$11*(1-'Inputs'!$B$12)))))</f>
        <v/>
      </c>
      <c r="I9" s="13">
        <f>H9/B9</f>
        <v/>
      </c>
      <c r="J9" s="13">
        <f>C9+I9</f>
        <v/>
      </c>
      <c r="K9" s="11">
        <f>F9+H9</f>
        <v/>
      </c>
      <c r="L9" s="13">
        <f>J9</f>
        <v/>
      </c>
      <c r="M9" s="13">
        <f>K9/B9</f>
        <v/>
      </c>
      <c r="N9" s="13">
        <f>L9-M9</f>
        <v/>
      </c>
      <c r="O9" s="13">
        <f>L9-'Inputs'!$B$7</f>
        <v/>
      </c>
      <c r="P9" s="11">
        <f>L9*B9-K9</f>
        <v/>
      </c>
      <c r="Q9" s="12">
        <f>IF(J9*B9=0,0,K9/(J9*B9))</f>
        <v/>
      </c>
      <c r="R9" s="6">
        <f>L9/'Inputs'!$B$7</f>
        <v/>
      </c>
      <c r="S9" s="11">
        <f>IF(K9=0,0,K9/(J9*'Inputs'!$B$10))</f>
        <v/>
      </c>
      <c r="T9" s="11">
        <f>IF(K9=0,0,K9/(J9*'Inputs'!$B$11))</f>
        <v/>
      </c>
      <c r="U9" s="12">
        <f>IF(T9&lt;=0,0,1-T9/B9)</f>
        <v/>
      </c>
      <c r="V9" s="6">
        <f>IF(Q9=0,"SAFE",IF(Q9&gt;='Inputs'!$B$11,"LIQUIDATED",IF(Q9&gt;='Inputs'!$B$10,"MARGIN CALL",IF(OR(Q9&gt;='Inputs'!$B$23,U9&lt;'Inputs'!$B$12),"WARNING","SAFE"))))</f>
        <v/>
      </c>
    </row>
    <row r="10">
      <c r="A10" s="6" t="n">
        <v>6</v>
      </c>
      <c r="B10" s="11">
        <f>'Price Projection'!B10</f>
        <v/>
      </c>
      <c r="C10" s="13">
        <f>J9</f>
        <v/>
      </c>
      <c r="D10" s="11">
        <f>K9</f>
        <v/>
      </c>
      <c r="E10" s="11">
        <f>D10*'Inputs'!$B$8</f>
        <v/>
      </c>
      <c r="F10" s="11">
        <f>IF('Inputs'!$B$9="capitalized",D10+E10,D10)</f>
        <v/>
      </c>
      <c r="G10" s="12">
        <f>IF(C10*B10=0,0,F10/(C10*B10))</f>
        <v/>
      </c>
      <c r="H10" s="11">
        <f>IF(G10&gt;='Inputs'!$B$10,0,MAX(0,(MIN('Inputs'!$B$14,'Inputs'!$B$15,'Inputs'!$B$11*(1-'Inputs'!$B$12))*C10*B10-F10)/(1-MIN('Inputs'!$B$14,'Inputs'!$B$15,'Inputs'!$B$11*(1-'Inputs'!$B$12)))))</f>
        <v/>
      </c>
      <c r="I10" s="13">
        <f>H10/B10</f>
        <v/>
      </c>
      <c r="J10" s="13">
        <f>C10+I10</f>
        <v/>
      </c>
      <c r="K10" s="11">
        <f>F10+H10</f>
        <v/>
      </c>
      <c r="L10" s="13">
        <f>J10</f>
        <v/>
      </c>
      <c r="M10" s="13">
        <f>K10/B10</f>
        <v/>
      </c>
      <c r="N10" s="13">
        <f>L10-M10</f>
        <v/>
      </c>
      <c r="O10" s="13">
        <f>L10-'Inputs'!$B$7</f>
        <v/>
      </c>
      <c r="P10" s="11">
        <f>L10*B10-K10</f>
        <v/>
      </c>
      <c r="Q10" s="12">
        <f>IF(J10*B10=0,0,K10/(J10*B10))</f>
        <v/>
      </c>
      <c r="R10" s="6">
        <f>L10/'Inputs'!$B$7</f>
        <v/>
      </c>
      <c r="S10" s="11">
        <f>IF(K10=0,0,K10/(J10*'Inputs'!$B$10))</f>
        <v/>
      </c>
      <c r="T10" s="11">
        <f>IF(K10=0,0,K10/(J10*'Inputs'!$B$11))</f>
        <v/>
      </c>
      <c r="U10" s="12">
        <f>IF(T10&lt;=0,0,1-T10/B10)</f>
        <v/>
      </c>
      <c r="V10" s="6">
        <f>IF(Q10=0,"SAFE",IF(Q10&gt;='Inputs'!$B$11,"LIQUIDATED",IF(Q10&gt;='Inputs'!$B$10,"MARGIN CALL",IF(OR(Q10&gt;='Inputs'!$B$23,U10&lt;'Inputs'!$B$12),"WARNING","SAFE"))))</f>
        <v/>
      </c>
    </row>
    <row r="11">
      <c r="A11" s="6" t="n">
        <v>7</v>
      </c>
      <c r="B11" s="11">
        <f>'Price Projection'!B11</f>
        <v/>
      </c>
      <c r="C11" s="13">
        <f>J10</f>
        <v/>
      </c>
      <c r="D11" s="11">
        <f>K10</f>
        <v/>
      </c>
      <c r="E11" s="11">
        <f>D11*'Inputs'!$B$8</f>
        <v/>
      </c>
      <c r="F11" s="11">
        <f>IF('Inputs'!$B$9="capitalized",D11+E11,D11)</f>
        <v/>
      </c>
      <c r="G11" s="12">
        <f>IF(C11*B11=0,0,F11/(C11*B11))</f>
        <v/>
      </c>
      <c r="H11" s="11">
        <f>IF(G11&gt;='Inputs'!$B$10,0,MAX(0,(MIN('Inputs'!$B$14,'Inputs'!$B$15,'Inputs'!$B$11*(1-'Inputs'!$B$12))*C11*B11-F11)/(1-MIN('Inputs'!$B$14,'Inputs'!$B$15,'Inputs'!$B$11*(1-'Inputs'!$B$12)))))</f>
        <v/>
      </c>
      <c r="I11" s="13">
        <f>H11/B11</f>
        <v/>
      </c>
      <c r="J11" s="13">
        <f>C11+I11</f>
        <v/>
      </c>
      <c r="K11" s="11">
        <f>F11+H11</f>
        <v/>
      </c>
      <c r="L11" s="13">
        <f>J11</f>
        <v/>
      </c>
      <c r="M11" s="13">
        <f>K11/B11</f>
        <v/>
      </c>
      <c r="N11" s="13">
        <f>L11-M11</f>
        <v/>
      </c>
      <c r="O11" s="13">
        <f>L11-'Inputs'!$B$7</f>
        <v/>
      </c>
      <c r="P11" s="11">
        <f>L11*B11-K11</f>
        <v/>
      </c>
      <c r="Q11" s="12">
        <f>IF(J11*B11=0,0,K11/(J11*B11))</f>
        <v/>
      </c>
      <c r="R11" s="6">
        <f>L11/'Inputs'!$B$7</f>
        <v/>
      </c>
      <c r="S11" s="11">
        <f>IF(K11=0,0,K11/(J11*'Inputs'!$B$10))</f>
        <v/>
      </c>
      <c r="T11" s="11">
        <f>IF(K11=0,0,K11/(J11*'Inputs'!$B$11))</f>
        <v/>
      </c>
      <c r="U11" s="12">
        <f>IF(T11&lt;=0,0,1-T11/B11)</f>
        <v/>
      </c>
      <c r="V11" s="6">
        <f>IF(Q11=0,"SAFE",IF(Q11&gt;='Inputs'!$B$11,"LIQUIDATED",IF(Q11&gt;='Inputs'!$B$10,"MARGIN CALL",IF(OR(Q11&gt;='Inputs'!$B$23,U11&lt;'Inputs'!$B$12),"WARNING","SAFE"))))</f>
        <v/>
      </c>
    </row>
    <row r="12">
      <c r="A12" s="6" t="n">
        <v>8</v>
      </c>
      <c r="B12" s="11">
        <f>'Price Projection'!B12</f>
        <v/>
      </c>
      <c r="C12" s="13">
        <f>J11</f>
        <v/>
      </c>
      <c r="D12" s="11">
        <f>K11</f>
        <v/>
      </c>
      <c r="E12" s="11">
        <f>D12*'Inputs'!$B$8</f>
        <v/>
      </c>
      <c r="F12" s="11">
        <f>IF('Inputs'!$B$9="capitalized",D12+E12,D12)</f>
        <v/>
      </c>
      <c r="G12" s="12">
        <f>IF(C12*B12=0,0,F12/(C12*B12))</f>
        <v/>
      </c>
      <c r="H12" s="11">
        <f>IF(G12&gt;='Inputs'!$B$10,0,MAX(0,(MIN('Inputs'!$B$14,'Inputs'!$B$15,'Inputs'!$B$11*(1-'Inputs'!$B$12))*C12*B12-F12)/(1-MIN('Inputs'!$B$14,'Inputs'!$B$15,'Inputs'!$B$11*(1-'Inputs'!$B$12)))))</f>
        <v/>
      </c>
      <c r="I12" s="13">
        <f>H12/B12</f>
        <v/>
      </c>
      <c r="J12" s="13">
        <f>C12+I12</f>
        <v/>
      </c>
      <c r="K12" s="11">
        <f>F12+H12</f>
        <v/>
      </c>
      <c r="L12" s="13">
        <f>J12</f>
        <v/>
      </c>
      <c r="M12" s="13">
        <f>K12/B12</f>
        <v/>
      </c>
      <c r="N12" s="13">
        <f>L12-M12</f>
        <v/>
      </c>
      <c r="O12" s="13">
        <f>L12-'Inputs'!$B$7</f>
        <v/>
      </c>
      <c r="P12" s="11">
        <f>L12*B12-K12</f>
        <v/>
      </c>
      <c r="Q12" s="12">
        <f>IF(J12*B12=0,0,K12/(J12*B12))</f>
        <v/>
      </c>
      <c r="R12" s="6">
        <f>L12/'Inputs'!$B$7</f>
        <v/>
      </c>
      <c r="S12" s="11">
        <f>IF(K12=0,0,K12/(J12*'Inputs'!$B$10))</f>
        <v/>
      </c>
      <c r="T12" s="11">
        <f>IF(K12=0,0,K12/(J12*'Inputs'!$B$11))</f>
        <v/>
      </c>
      <c r="U12" s="12">
        <f>IF(T12&lt;=0,0,1-T12/B12)</f>
        <v/>
      </c>
      <c r="V12" s="6">
        <f>IF(Q12=0,"SAFE",IF(Q12&gt;='Inputs'!$B$11,"LIQUIDATED",IF(Q12&gt;='Inputs'!$B$10,"MARGIN CALL",IF(OR(Q12&gt;='Inputs'!$B$23,U12&lt;'Inputs'!$B$12),"WARNING","SAFE"))))</f>
        <v/>
      </c>
    </row>
    <row r="13">
      <c r="A13" s="6" t="n">
        <v>9</v>
      </c>
      <c r="B13" s="11">
        <f>'Price Projection'!B13</f>
        <v/>
      </c>
      <c r="C13" s="13">
        <f>J12</f>
        <v/>
      </c>
      <c r="D13" s="11">
        <f>K12</f>
        <v/>
      </c>
      <c r="E13" s="11">
        <f>D13*'Inputs'!$B$8</f>
        <v/>
      </c>
      <c r="F13" s="11">
        <f>IF('Inputs'!$B$9="capitalized",D13+E13,D13)</f>
        <v/>
      </c>
      <c r="G13" s="12">
        <f>IF(C13*B13=0,0,F13/(C13*B13))</f>
        <v/>
      </c>
      <c r="H13" s="11">
        <f>IF(G13&gt;='Inputs'!$B$10,0,MAX(0,(MIN('Inputs'!$B$14,'Inputs'!$B$15,'Inputs'!$B$11*(1-'Inputs'!$B$12))*C13*B13-F13)/(1-MIN('Inputs'!$B$14,'Inputs'!$B$15,'Inputs'!$B$11*(1-'Inputs'!$B$12)))))</f>
        <v/>
      </c>
      <c r="I13" s="13">
        <f>H13/B13</f>
        <v/>
      </c>
      <c r="J13" s="13">
        <f>C13+I13</f>
        <v/>
      </c>
      <c r="K13" s="11">
        <f>F13+H13</f>
        <v/>
      </c>
      <c r="L13" s="13">
        <f>J13</f>
        <v/>
      </c>
      <c r="M13" s="13">
        <f>K13/B13</f>
        <v/>
      </c>
      <c r="N13" s="13">
        <f>L13-M13</f>
        <v/>
      </c>
      <c r="O13" s="13">
        <f>L13-'Inputs'!$B$7</f>
        <v/>
      </c>
      <c r="P13" s="11">
        <f>L13*B13-K13</f>
        <v/>
      </c>
      <c r="Q13" s="12">
        <f>IF(J13*B13=0,0,K13/(J13*B13))</f>
        <v/>
      </c>
      <c r="R13" s="6">
        <f>L13/'Inputs'!$B$7</f>
        <v/>
      </c>
      <c r="S13" s="11">
        <f>IF(K13=0,0,K13/(J13*'Inputs'!$B$10))</f>
        <v/>
      </c>
      <c r="T13" s="11">
        <f>IF(K13=0,0,K13/(J13*'Inputs'!$B$11))</f>
        <v/>
      </c>
      <c r="U13" s="12">
        <f>IF(T13&lt;=0,0,1-T13/B13)</f>
        <v/>
      </c>
      <c r="V13" s="6">
        <f>IF(Q13=0,"SAFE",IF(Q13&gt;='Inputs'!$B$11,"LIQUIDATED",IF(Q13&gt;='Inputs'!$B$10,"MARGIN CALL",IF(OR(Q13&gt;='Inputs'!$B$23,U13&lt;'Inputs'!$B$12),"WARNING","SAFE"))))</f>
        <v/>
      </c>
    </row>
    <row r="14">
      <c r="A14" s="6" t="n">
        <v>10</v>
      </c>
      <c r="B14" s="11">
        <f>'Price Projection'!B14</f>
        <v/>
      </c>
      <c r="C14" s="13">
        <f>J13</f>
        <v/>
      </c>
      <c r="D14" s="11">
        <f>K13</f>
        <v/>
      </c>
      <c r="E14" s="11">
        <f>D14*'Inputs'!$B$8</f>
        <v/>
      </c>
      <c r="F14" s="11">
        <f>IF('Inputs'!$B$9="capitalized",D14+E14,D14)</f>
        <v/>
      </c>
      <c r="G14" s="12">
        <f>IF(C14*B14=0,0,F14/(C14*B14))</f>
        <v/>
      </c>
      <c r="H14" s="11">
        <f>IF(G14&gt;='Inputs'!$B$10,0,MAX(0,(MIN('Inputs'!$B$14,'Inputs'!$B$15,'Inputs'!$B$11*(1-'Inputs'!$B$12))*C14*B14-F14)/(1-MIN('Inputs'!$B$14,'Inputs'!$B$15,'Inputs'!$B$11*(1-'Inputs'!$B$12)))))</f>
        <v/>
      </c>
      <c r="I14" s="13">
        <f>H14/B14</f>
        <v/>
      </c>
      <c r="J14" s="13">
        <f>C14+I14</f>
        <v/>
      </c>
      <c r="K14" s="11">
        <f>F14+H14</f>
        <v/>
      </c>
      <c r="L14" s="13">
        <f>J14</f>
        <v/>
      </c>
      <c r="M14" s="13">
        <f>K14/B14</f>
        <v/>
      </c>
      <c r="N14" s="13">
        <f>L14-M14</f>
        <v/>
      </c>
      <c r="O14" s="13">
        <f>L14-'Inputs'!$B$7</f>
        <v/>
      </c>
      <c r="P14" s="11">
        <f>L14*B14-K14</f>
        <v/>
      </c>
      <c r="Q14" s="12">
        <f>IF(J14*B14=0,0,K14/(J14*B14))</f>
        <v/>
      </c>
      <c r="R14" s="6">
        <f>L14/'Inputs'!$B$7</f>
        <v/>
      </c>
      <c r="S14" s="11">
        <f>IF(K14=0,0,K14/(J14*'Inputs'!$B$10))</f>
        <v/>
      </c>
      <c r="T14" s="11">
        <f>IF(K14=0,0,K14/(J14*'Inputs'!$B$11))</f>
        <v/>
      </c>
      <c r="U14" s="12">
        <f>IF(T14&lt;=0,0,1-T14/B14)</f>
        <v/>
      </c>
      <c r="V14" s="6">
        <f>IF(Q14=0,"SAFE",IF(Q14&gt;='Inputs'!$B$11,"LIQUIDATED",IF(Q14&gt;='Inputs'!$B$10,"MARGIN CALL",IF(OR(Q14&gt;='Inputs'!$B$23,U14&lt;'Inputs'!$B$12),"WARNING","SAFE"))))</f>
        <v/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"/>
  <sheetViews>
    <sheetView workbookViewId="0">
      <selection activeCell="A1" sqref="A1"/>
    </sheetView>
  </sheetViews>
  <sheetFormatPr baseColWidth="8" defaultRowHeight="15"/>
  <cols>
    <col width="28" customWidth="1" min="1" max="1"/>
    <col width="25" customWidth="1" min="2" max="2"/>
    <col width="25" customWidth="1" min="3" max="3"/>
    <col width="15" customWidth="1" min="4" max="4"/>
    <col width="20" customWidth="1" min="5" max="5"/>
    <col width="28" customWidth="1" min="6" max="6"/>
    <col width="22" customWidth="1" min="7" max="7"/>
    <col width="28" customWidth="1" min="8" max="8"/>
    <col width="28" customWidth="1" min="9" max="9"/>
    <col width="17" customWidth="1" min="10" max="10"/>
    <col width="28" customWidth="1" min="11" max="11"/>
    <col width="13" customWidth="1" min="12" max="12"/>
    <col width="21" customWidth="1" min="13" max="13"/>
    <col width="20" customWidth="1" min="14" max="14"/>
    <col width="16" customWidth="1" min="15" max="15"/>
    <col width="28" customWidth="1" min="16" max="16"/>
    <col width="28" customWidth="1" min="17" max="17"/>
    <col width="28" customWidth="1" min="18" max="18"/>
    <col width="25" customWidth="1" min="19" max="19"/>
    <col width="28" customWidth="1" min="20" max="20"/>
  </cols>
  <sheetData>
    <row r="1">
      <c r="A1" s="1" t="inlineStr">
        <is>
          <t>Income Engine — Borrow-Funded Income</t>
        </is>
      </c>
    </row>
    <row r="2"/>
    <row r="3">
      <c r="A3" s="2" t="inlineStr">
        <is>
          <t>Year</t>
        </is>
      </c>
      <c r="B3" s="2" t="inlineStr">
        <is>
          <t>BTC Price</t>
        </is>
      </c>
      <c r="C3" s="2" t="inlineStr">
        <is>
          <t>Starting Collateral BTC</t>
        </is>
      </c>
      <c r="D3" s="2" t="inlineStr">
        <is>
          <t>Starting Debt</t>
        </is>
      </c>
      <c r="E3" s="2" t="inlineStr">
        <is>
          <t>Interest Accrued</t>
        </is>
      </c>
      <c r="F3" s="2" t="inlineStr">
        <is>
          <t>Debt After Interest</t>
        </is>
      </c>
      <c r="G3" s="2" t="inlineStr">
        <is>
          <t>Selected Income Draw</t>
        </is>
      </c>
      <c r="H3" s="2" t="inlineStr">
        <is>
          <t>Max Available Annual Income</t>
        </is>
      </c>
      <c r="I3" s="2" t="inlineStr">
        <is>
          <t>Income Borrowed</t>
        </is>
      </c>
      <c r="J3" s="2" t="inlineStr">
        <is>
          <t>Unfunded Income</t>
        </is>
      </c>
      <c r="K3" s="2" t="inlineStr">
        <is>
          <t>Cumulative Income Borrowed</t>
        </is>
      </c>
      <c r="L3" s="2" t="inlineStr">
        <is>
          <t>Ending Debt</t>
        </is>
      </c>
      <c r="M3" s="2" t="inlineStr">
        <is>
          <t>Debt BTC Equivalent</t>
        </is>
      </c>
      <c r="N3" s="2" t="inlineStr">
        <is>
          <t>Net BTC After Debt</t>
        </is>
      </c>
      <c r="O3" s="2" t="inlineStr">
        <is>
          <t>Net Equity USD</t>
        </is>
      </c>
      <c r="P3" s="2" t="inlineStr">
        <is>
          <t>Effective LTV End</t>
        </is>
      </c>
      <c r="Q3" s="2" t="inlineStr">
        <is>
          <t>Margin-Call Price</t>
        </is>
      </c>
      <c r="R3" s="2" t="inlineStr">
        <is>
          <t>Liquidation Price</t>
        </is>
      </c>
      <c r="S3" s="2" t="inlineStr">
        <is>
          <t>Drop to Liquidation</t>
        </is>
      </c>
      <c r="T3" s="2" t="inlineStr">
        <is>
          <t>Sustainability Status</t>
        </is>
      </c>
    </row>
    <row r="4">
      <c r="A4" s="6" t="n">
        <v>0</v>
      </c>
      <c r="B4" s="11">
        <f>'Price Projection'!B4</f>
        <v/>
      </c>
      <c r="C4" s="13">
        <f>'Inputs'!$B$7</f>
        <v/>
      </c>
      <c r="D4" s="11" t="n">
        <v>0</v>
      </c>
      <c r="E4" s="11" t="n">
        <v>0</v>
      </c>
      <c r="F4" s="11">
        <f>D4+E4</f>
        <v/>
      </c>
      <c r="G4" s="11" t="n">
        <v>0</v>
      </c>
      <c r="H4" s="11">
        <f>MAX(0,MIN(C4*B4*'Inputs'!$B$20,C4*B4*'Inputs'!$B$11*(1-'Inputs'!$B$12))-F4)</f>
        <v/>
      </c>
      <c r="I4" s="11">
        <f>IF(IF(C4*B4=0,0,F4/(C4*B4))&gt;='Inputs'!$B$10,0,MIN(G4,H4))</f>
        <v/>
      </c>
      <c r="J4" s="11">
        <f>G4-I4</f>
        <v/>
      </c>
      <c r="K4" s="11">
        <f>I4</f>
        <v/>
      </c>
      <c r="L4" s="11">
        <f>F4+I4</f>
        <v/>
      </c>
      <c r="M4" s="13">
        <f>L4/B4</f>
        <v/>
      </c>
      <c r="N4" s="13">
        <f>C4-M4</f>
        <v/>
      </c>
      <c r="O4" s="11">
        <f>C4*B4-L4</f>
        <v/>
      </c>
      <c r="P4" s="12">
        <f>IF(C4*B4=0,0,L4/(C4*B4))</f>
        <v/>
      </c>
      <c r="Q4" s="11">
        <f>IF(L4=0,0,L4/(C4*'Inputs'!$B$10))</f>
        <v/>
      </c>
      <c r="R4" s="11">
        <f>IF(L4=0,0,L4/(C4*'Inputs'!$B$11))</f>
        <v/>
      </c>
      <c r="S4" s="12">
        <f>IF(R4&lt;=0,0,1-R4/B4)</f>
        <v/>
      </c>
      <c r="T4" s="6">
        <f>IF(P4&gt;='Inputs'!$B$11,"LIQUIDATED",IF(P4&gt;='Inputs'!$B$10,"MARGIN CALL",IF(OR(P4&gt;='Inputs'!$B$23,S4&lt;'Inputs'!$B$12),"WARNING",IF(AND(G4&gt;0,I4=0),"FAILED",IF(I4&lt;G4,"CONSTRAINED","SAFE")))))</f>
        <v/>
      </c>
    </row>
    <row r="5">
      <c r="A5" s="6" t="n">
        <v>1</v>
      </c>
      <c r="B5" s="11">
        <f>'Price Projection'!B5</f>
        <v/>
      </c>
      <c r="C5" s="13">
        <f>'Inputs'!$B$7</f>
        <v/>
      </c>
      <c r="D5" s="11">
        <f>L4</f>
        <v/>
      </c>
      <c r="E5" s="11">
        <f>D5*'Inputs'!$B$8</f>
        <v/>
      </c>
      <c r="F5" s="11">
        <f>IF('Inputs'!$B$9="capitalized",D5+E5,D5)</f>
        <v/>
      </c>
      <c r="G5" s="11">
        <f>'Inputs'!$B$19</f>
        <v/>
      </c>
      <c r="H5" s="11">
        <f>MAX(0,MIN(C5*B5*'Inputs'!$B$20,C5*B5*'Inputs'!$B$11*(1-'Inputs'!$B$12))-F5)</f>
        <v/>
      </c>
      <c r="I5" s="11">
        <f>IF(IF(C5*B5=0,0,F5/(C5*B5))&gt;='Inputs'!$B$10,0,MIN(G5,H5))</f>
        <v/>
      </c>
      <c r="J5" s="11">
        <f>G5-I5</f>
        <v/>
      </c>
      <c r="K5" s="11">
        <f>K4+I5</f>
        <v/>
      </c>
      <c r="L5" s="11">
        <f>F5+I5</f>
        <v/>
      </c>
      <c r="M5" s="13">
        <f>L5/B5</f>
        <v/>
      </c>
      <c r="N5" s="13">
        <f>C5-M5</f>
        <v/>
      </c>
      <c r="O5" s="11">
        <f>C5*B5-L5</f>
        <v/>
      </c>
      <c r="P5" s="12">
        <f>IF(C5*B5=0,0,L5/(C5*B5))</f>
        <v/>
      </c>
      <c r="Q5" s="11">
        <f>IF(L5=0,0,L5/(C5*'Inputs'!$B$10))</f>
        <v/>
      </c>
      <c r="R5" s="11">
        <f>IF(L5=0,0,L5/(C5*'Inputs'!$B$11))</f>
        <v/>
      </c>
      <c r="S5" s="12">
        <f>IF(R5&lt;=0,0,1-R5/B5)</f>
        <v/>
      </c>
      <c r="T5" s="6">
        <f>IF(P5&gt;='Inputs'!$B$11,"LIQUIDATED",IF(P5&gt;='Inputs'!$B$10,"MARGIN CALL",IF(OR(P5&gt;='Inputs'!$B$23,S5&lt;'Inputs'!$B$12),"WARNING",IF(AND(G5&gt;0,I5=0),"FAILED",IF(I5&lt;G5,"CONSTRAINED","SAFE")))))</f>
        <v/>
      </c>
    </row>
    <row r="6">
      <c r="A6" s="6" t="n">
        <v>2</v>
      </c>
      <c r="B6" s="11">
        <f>'Price Projection'!B6</f>
        <v/>
      </c>
      <c r="C6" s="13">
        <f>'Inputs'!$B$7</f>
        <v/>
      </c>
      <c r="D6" s="11">
        <f>L5</f>
        <v/>
      </c>
      <c r="E6" s="11">
        <f>D6*'Inputs'!$B$8</f>
        <v/>
      </c>
      <c r="F6" s="11">
        <f>IF('Inputs'!$B$9="capitalized",D6+E6,D6)</f>
        <v/>
      </c>
      <c r="G6" s="11">
        <f>'Inputs'!$B$19</f>
        <v/>
      </c>
      <c r="H6" s="11">
        <f>MAX(0,MIN(C6*B6*'Inputs'!$B$20,C6*B6*'Inputs'!$B$11*(1-'Inputs'!$B$12))-F6)</f>
        <v/>
      </c>
      <c r="I6" s="11">
        <f>IF(IF(C6*B6=0,0,F6/(C6*B6))&gt;='Inputs'!$B$10,0,MIN(G6,H6))</f>
        <v/>
      </c>
      <c r="J6" s="11">
        <f>G6-I6</f>
        <v/>
      </c>
      <c r="K6" s="11">
        <f>K5+I6</f>
        <v/>
      </c>
      <c r="L6" s="11">
        <f>F6+I6</f>
        <v/>
      </c>
      <c r="M6" s="13">
        <f>L6/B6</f>
        <v/>
      </c>
      <c r="N6" s="13">
        <f>C6-M6</f>
        <v/>
      </c>
      <c r="O6" s="11">
        <f>C6*B6-L6</f>
        <v/>
      </c>
      <c r="P6" s="12">
        <f>IF(C6*B6=0,0,L6/(C6*B6))</f>
        <v/>
      </c>
      <c r="Q6" s="11">
        <f>IF(L6=0,0,L6/(C6*'Inputs'!$B$10))</f>
        <v/>
      </c>
      <c r="R6" s="11">
        <f>IF(L6=0,0,L6/(C6*'Inputs'!$B$11))</f>
        <v/>
      </c>
      <c r="S6" s="12">
        <f>IF(R6&lt;=0,0,1-R6/B6)</f>
        <v/>
      </c>
      <c r="T6" s="6">
        <f>IF(P6&gt;='Inputs'!$B$11,"LIQUIDATED",IF(P6&gt;='Inputs'!$B$10,"MARGIN CALL",IF(OR(P6&gt;='Inputs'!$B$23,S6&lt;'Inputs'!$B$12),"WARNING",IF(AND(G6&gt;0,I6=0),"FAILED",IF(I6&lt;G6,"CONSTRAINED","SAFE")))))</f>
        <v/>
      </c>
    </row>
    <row r="7">
      <c r="A7" s="6" t="n">
        <v>3</v>
      </c>
      <c r="B7" s="11">
        <f>'Price Projection'!B7</f>
        <v/>
      </c>
      <c r="C7" s="13">
        <f>'Inputs'!$B$7</f>
        <v/>
      </c>
      <c r="D7" s="11">
        <f>L6</f>
        <v/>
      </c>
      <c r="E7" s="11">
        <f>D7*'Inputs'!$B$8</f>
        <v/>
      </c>
      <c r="F7" s="11">
        <f>IF('Inputs'!$B$9="capitalized",D7+E7,D7)</f>
        <v/>
      </c>
      <c r="G7" s="11">
        <f>'Inputs'!$B$19</f>
        <v/>
      </c>
      <c r="H7" s="11">
        <f>MAX(0,MIN(C7*B7*'Inputs'!$B$20,C7*B7*'Inputs'!$B$11*(1-'Inputs'!$B$12))-F7)</f>
        <v/>
      </c>
      <c r="I7" s="11">
        <f>IF(IF(C7*B7=0,0,F7/(C7*B7))&gt;='Inputs'!$B$10,0,MIN(G7,H7))</f>
        <v/>
      </c>
      <c r="J7" s="11">
        <f>G7-I7</f>
        <v/>
      </c>
      <c r="K7" s="11">
        <f>K6+I7</f>
        <v/>
      </c>
      <c r="L7" s="11">
        <f>F7+I7</f>
        <v/>
      </c>
      <c r="M7" s="13">
        <f>L7/B7</f>
        <v/>
      </c>
      <c r="N7" s="13">
        <f>C7-M7</f>
        <v/>
      </c>
      <c r="O7" s="11">
        <f>C7*B7-L7</f>
        <v/>
      </c>
      <c r="P7" s="12">
        <f>IF(C7*B7=0,0,L7/(C7*B7))</f>
        <v/>
      </c>
      <c r="Q7" s="11">
        <f>IF(L7=0,0,L7/(C7*'Inputs'!$B$10))</f>
        <v/>
      </c>
      <c r="R7" s="11">
        <f>IF(L7=0,0,L7/(C7*'Inputs'!$B$11))</f>
        <v/>
      </c>
      <c r="S7" s="12">
        <f>IF(R7&lt;=0,0,1-R7/B7)</f>
        <v/>
      </c>
      <c r="T7" s="6">
        <f>IF(P7&gt;='Inputs'!$B$11,"LIQUIDATED",IF(P7&gt;='Inputs'!$B$10,"MARGIN CALL",IF(OR(P7&gt;='Inputs'!$B$23,S7&lt;'Inputs'!$B$12),"WARNING",IF(AND(G7&gt;0,I7=0),"FAILED",IF(I7&lt;G7,"CONSTRAINED","SAFE")))))</f>
        <v/>
      </c>
    </row>
    <row r="8">
      <c r="A8" s="6" t="n">
        <v>4</v>
      </c>
      <c r="B8" s="11">
        <f>'Price Projection'!B8</f>
        <v/>
      </c>
      <c r="C8" s="13">
        <f>'Inputs'!$B$7</f>
        <v/>
      </c>
      <c r="D8" s="11">
        <f>L7</f>
        <v/>
      </c>
      <c r="E8" s="11">
        <f>D8*'Inputs'!$B$8</f>
        <v/>
      </c>
      <c r="F8" s="11">
        <f>IF('Inputs'!$B$9="capitalized",D8+E8,D8)</f>
        <v/>
      </c>
      <c r="G8" s="11">
        <f>'Inputs'!$B$19</f>
        <v/>
      </c>
      <c r="H8" s="11">
        <f>MAX(0,MIN(C8*B8*'Inputs'!$B$20,C8*B8*'Inputs'!$B$11*(1-'Inputs'!$B$12))-F8)</f>
        <v/>
      </c>
      <c r="I8" s="11">
        <f>IF(IF(C8*B8=0,0,F8/(C8*B8))&gt;='Inputs'!$B$10,0,MIN(G8,H8))</f>
        <v/>
      </c>
      <c r="J8" s="11">
        <f>G8-I8</f>
        <v/>
      </c>
      <c r="K8" s="11">
        <f>K7+I8</f>
        <v/>
      </c>
      <c r="L8" s="11">
        <f>F8+I8</f>
        <v/>
      </c>
      <c r="M8" s="13">
        <f>L8/B8</f>
        <v/>
      </c>
      <c r="N8" s="13">
        <f>C8-M8</f>
        <v/>
      </c>
      <c r="O8" s="11">
        <f>C8*B8-L8</f>
        <v/>
      </c>
      <c r="P8" s="12">
        <f>IF(C8*B8=0,0,L8/(C8*B8))</f>
        <v/>
      </c>
      <c r="Q8" s="11">
        <f>IF(L8=0,0,L8/(C8*'Inputs'!$B$10))</f>
        <v/>
      </c>
      <c r="R8" s="11">
        <f>IF(L8=0,0,L8/(C8*'Inputs'!$B$11))</f>
        <v/>
      </c>
      <c r="S8" s="12">
        <f>IF(R8&lt;=0,0,1-R8/B8)</f>
        <v/>
      </c>
      <c r="T8" s="6">
        <f>IF(P8&gt;='Inputs'!$B$11,"LIQUIDATED",IF(P8&gt;='Inputs'!$B$10,"MARGIN CALL",IF(OR(P8&gt;='Inputs'!$B$23,S8&lt;'Inputs'!$B$12),"WARNING",IF(AND(G8&gt;0,I8=0),"FAILED",IF(I8&lt;G8,"CONSTRAINED","SAFE")))))</f>
        <v/>
      </c>
    </row>
    <row r="9">
      <c r="A9" s="6" t="n">
        <v>5</v>
      </c>
      <c r="B9" s="11">
        <f>'Price Projection'!B9</f>
        <v/>
      </c>
      <c r="C9" s="13">
        <f>'Inputs'!$B$7</f>
        <v/>
      </c>
      <c r="D9" s="11">
        <f>L8</f>
        <v/>
      </c>
      <c r="E9" s="11">
        <f>D9*'Inputs'!$B$8</f>
        <v/>
      </c>
      <c r="F9" s="11">
        <f>IF('Inputs'!$B$9="capitalized",D9+E9,D9)</f>
        <v/>
      </c>
      <c r="G9" s="11">
        <f>'Inputs'!$B$19</f>
        <v/>
      </c>
      <c r="H9" s="11">
        <f>MAX(0,MIN(C9*B9*'Inputs'!$B$20,C9*B9*'Inputs'!$B$11*(1-'Inputs'!$B$12))-F9)</f>
        <v/>
      </c>
      <c r="I9" s="11">
        <f>IF(IF(C9*B9=0,0,F9/(C9*B9))&gt;='Inputs'!$B$10,0,MIN(G9,H9))</f>
        <v/>
      </c>
      <c r="J9" s="11">
        <f>G9-I9</f>
        <v/>
      </c>
      <c r="K9" s="11">
        <f>K8+I9</f>
        <v/>
      </c>
      <c r="L9" s="11">
        <f>F9+I9</f>
        <v/>
      </c>
      <c r="M9" s="13">
        <f>L9/B9</f>
        <v/>
      </c>
      <c r="N9" s="13">
        <f>C9-M9</f>
        <v/>
      </c>
      <c r="O9" s="11">
        <f>C9*B9-L9</f>
        <v/>
      </c>
      <c r="P9" s="12">
        <f>IF(C9*B9=0,0,L9/(C9*B9))</f>
        <v/>
      </c>
      <c r="Q9" s="11">
        <f>IF(L9=0,0,L9/(C9*'Inputs'!$B$10))</f>
        <v/>
      </c>
      <c r="R9" s="11">
        <f>IF(L9=0,0,L9/(C9*'Inputs'!$B$11))</f>
        <v/>
      </c>
      <c r="S9" s="12">
        <f>IF(R9&lt;=0,0,1-R9/B9)</f>
        <v/>
      </c>
      <c r="T9" s="6">
        <f>IF(P9&gt;='Inputs'!$B$11,"LIQUIDATED",IF(P9&gt;='Inputs'!$B$10,"MARGIN CALL",IF(OR(P9&gt;='Inputs'!$B$23,S9&lt;'Inputs'!$B$12),"WARNING",IF(AND(G9&gt;0,I9=0),"FAILED",IF(I9&lt;G9,"CONSTRAINED","SAFE")))))</f>
        <v/>
      </c>
    </row>
    <row r="10">
      <c r="A10" s="6" t="n">
        <v>6</v>
      </c>
      <c r="B10" s="11">
        <f>'Price Projection'!B10</f>
        <v/>
      </c>
      <c r="C10" s="13">
        <f>'Inputs'!$B$7</f>
        <v/>
      </c>
      <c r="D10" s="11">
        <f>L9</f>
        <v/>
      </c>
      <c r="E10" s="11">
        <f>D10*'Inputs'!$B$8</f>
        <v/>
      </c>
      <c r="F10" s="11">
        <f>IF('Inputs'!$B$9="capitalized",D10+E10,D10)</f>
        <v/>
      </c>
      <c r="G10" s="11">
        <f>'Inputs'!$B$19</f>
        <v/>
      </c>
      <c r="H10" s="11">
        <f>MAX(0,MIN(C10*B10*'Inputs'!$B$20,C10*B10*'Inputs'!$B$11*(1-'Inputs'!$B$12))-F10)</f>
        <v/>
      </c>
      <c r="I10" s="11">
        <f>IF(IF(C10*B10=0,0,F10/(C10*B10))&gt;='Inputs'!$B$10,0,MIN(G10,H10))</f>
        <v/>
      </c>
      <c r="J10" s="11">
        <f>G10-I10</f>
        <v/>
      </c>
      <c r="K10" s="11">
        <f>K9+I10</f>
        <v/>
      </c>
      <c r="L10" s="11">
        <f>F10+I10</f>
        <v/>
      </c>
      <c r="M10" s="13">
        <f>L10/B10</f>
        <v/>
      </c>
      <c r="N10" s="13">
        <f>C10-M10</f>
        <v/>
      </c>
      <c r="O10" s="11">
        <f>C10*B10-L10</f>
        <v/>
      </c>
      <c r="P10" s="12">
        <f>IF(C10*B10=0,0,L10/(C10*B10))</f>
        <v/>
      </c>
      <c r="Q10" s="11">
        <f>IF(L10=0,0,L10/(C10*'Inputs'!$B$10))</f>
        <v/>
      </c>
      <c r="R10" s="11">
        <f>IF(L10=0,0,L10/(C10*'Inputs'!$B$11))</f>
        <v/>
      </c>
      <c r="S10" s="12">
        <f>IF(R10&lt;=0,0,1-R10/B10)</f>
        <v/>
      </c>
      <c r="T10" s="6">
        <f>IF(P10&gt;='Inputs'!$B$11,"LIQUIDATED",IF(P10&gt;='Inputs'!$B$10,"MARGIN CALL",IF(OR(P10&gt;='Inputs'!$B$23,S10&lt;'Inputs'!$B$12),"WARNING",IF(AND(G10&gt;0,I10=0),"FAILED",IF(I10&lt;G10,"CONSTRAINED","SAFE")))))</f>
        <v/>
      </c>
    </row>
    <row r="11">
      <c r="A11" s="6" t="n">
        <v>7</v>
      </c>
      <c r="B11" s="11">
        <f>'Price Projection'!B11</f>
        <v/>
      </c>
      <c r="C11" s="13">
        <f>'Inputs'!$B$7</f>
        <v/>
      </c>
      <c r="D11" s="11">
        <f>L10</f>
        <v/>
      </c>
      <c r="E11" s="11">
        <f>D11*'Inputs'!$B$8</f>
        <v/>
      </c>
      <c r="F11" s="11">
        <f>IF('Inputs'!$B$9="capitalized",D11+E11,D11)</f>
        <v/>
      </c>
      <c r="G11" s="11">
        <f>'Inputs'!$B$19</f>
        <v/>
      </c>
      <c r="H11" s="11">
        <f>MAX(0,MIN(C11*B11*'Inputs'!$B$20,C11*B11*'Inputs'!$B$11*(1-'Inputs'!$B$12))-F11)</f>
        <v/>
      </c>
      <c r="I11" s="11">
        <f>IF(IF(C11*B11=0,0,F11/(C11*B11))&gt;='Inputs'!$B$10,0,MIN(G11,H11))</f>
        <v/>
      </c>
      <c r="J11" s="11">
        <f>G11-I11</f>
        <v/>
      </c>
      <c r="K11" s="11">
        <f>K10+I11</f>
        <v/>
      </c>
      <c r="L11" s="11">
        <f>F11+I11</f>
        <v/>
      </c>
      <c r="M11" s="13">
        <f>L11/B11</f>
        <v/>
      </c>
      <c r="N11" s="13">
        <f>C11-M11</f>
        <v/>
      </c>
      <c r="O11" s="11">
        <f>C11*B11-L11</f>
        <v/>
      </c>
      <c r="P11" s="12">
        <f>IF(C11*B11=0,0,L11/(C11*B11))</f>
        <v/>
      </c>
      <c r="Q11" s="11">
        <f>IF(L11=0,0,L11/(C11*'Inputs'!$B$10))</f>
        <v/>
      </c>
      <c r="R11" s="11">
        <f>IF(L11=0,0,L11/(C11*'Inputs'!$B$11))</f>
        <v/>
      </c>
      <c r="S11" s="12">
        <f>IF(R11&lt;=0,0,1-R11/B11)</f>
        <v/>
      </c>
      <c r="T11" s="6">
        <f>IF(P11&gt;='Inputs'!$B$11,"LIQUIDATED",IF(P11&gt;='Inputs'!$B$10,"MARGIN CALL",IF(OR(P11&gt;='Inputs'!$B$23,S11&lt;'Inputs'!$B$12),"WARNING",IF(AND(G11&gt;0,I11=0),"FAILED",IF(I11&lt;G11,"CONSTRAINED","SAFE")))))</f>
        <v/>
      </c>
    </row>
    <row r="12">
      <c r="A12" s="6" t="n">
        <v>8</v>
      </c>
      <c r="B12" s="11">
        <f>'Price Projection'!B12</f>
        <v/>
      </c>
      <c r="C12" s="13">
        <f>'Inputs'!$B$7</f>
        <v/>
      </c>
      <c r="D12" s="11">
        <f>L11</f>
        <v/>
      </c>
      <c r="E12" s="11">
        <f>D12*'Inputs'!$B$8</f>
        <v/>
      </c>
      <c r="F12" s="11">
        <f>IF('Inputs'!$B$9="capitalized",D12+E12,D12)</f>
        <v/>
      </c>
      <c r="G12" s="11">
        <f>'Inputs'!$B$19</f>
        <v/>
      </c>
      <c r="H12" s="11">
        <f>MAX(0,MIN(C12*B12*'Inputs'!$B$20,C12*B12*'Inputs'!$B$11*(1-'Inputs'!$B$12))-F12)</f>
        <v/>
      </c>
      <c r="I12" s="11">
        <f>IF(IF(C12*B12=0,0,F12/(C12*B12))&gt;='Inputs'!$B$10,0,MIN(G12,H12))</f>
        <v/>
      </c>
      <c r="J12" s="11">
        <f>G12-I12</f>
        <v/>
      </c>
      <c r="K12" s="11">
        <f>K11+I12</f>
        <v/>
      </c>
      <c r="L12" s="11">
        <f>F12+I12</f>
        <v/>
      </c>
      <c r="M12" s="13">
        <f>L12/B12</f>
        <v/>
      </c>
      <c r="N12" s="13">
        <f>C12-M12</f>
        <v/>
      </c>
      <c r="O12" s="11">
        <f>C12*B12-L12</f>
        <v/>
      </c>
      <c r="P12" s="12">
        <f>IF(C12*B12=0,0,L12/(C12*B12))</f>
        <v/>
      </c>
      <c r="Q12" s="11">
        <f>IF(L12=0,0,L12/(C12*'Inputs'!$B$10))</f>
        <v/>
      </c>
      <c r="R12" s="11">
        <f>IF(L12=0,0,L12/(C12*'Inputs'!$B$11))</f>
        <v/>
      </c>
      <c r="S12" s="12">
        <f>IF(R12&lt;=0,0,1-R12/B12)</f>
        <v/>
      </c>
      <c r="T12" s="6">
        <f>IF(P12&gt;='Inputs'!$B$11,"LIQUIDATED",IF(P12&gt;='Inputs'!$B$10,"MARGIN CALL",IF(OR(P12&gt;='Inputs'!$B$23,S12&lt;'Inputs'!$B$12),"WARNING",IF(AND(G12&gt;0,I12=0),"FAILED",IF(I12&lt;G12,"CONSTRAINED","SAFE")))))</f>
        <v/>
      </c>
    </row>
    <row r="13">
      <c r="A13" s="6" t="n">
        <v>9</v>
      </c>
      <c r="B13" s="11">
        <f>'Price Projection'!B13</f>
        <v/>
      </c>
      <c r="C13" s="13">
        <f>'Inputs'!$B$7</f>
        <v/>
      </c>
      <c r="D13" s="11">
        <f>L12</f>
        <v/>
      </c>
      <c r="E13" s="11">
        <f>D13*'Inputs'!$B$8</f>
        <v/>
      </c>
      <c r="F13" s="11">
        <f>IF('Inputs'!$B$9="capitalized",D13+E13,D13)</f>
        <v/>
      </c>
      <c r="G13" s="11">
        <f>'Inputs'!$B$19</f>
        <v/>
      </c>
      <c r="H13" s="11">
        <f>MAX(0,MIN(C13*B13*'Inputs'!$B$20,C13*B13*'Inputs'!$B$11*(1-'Inputs'!$B$12))-F13)</f>
        <v/>
      </c>
      <c r="I13" s="11">
        <f>IF(IF(C13*B13=0,0,F13/(C13*B13))&gt;='Inputs'!$B$10,0,MIN(G13,H13))</f>
        <v/>
      </c>
      <c r="J13" s="11">
        <f>G13-I13</f>
        <v/>
      </c>
      <c r="K13" s="11">
        <f>K12+I13</f>
        <v/>
      </c>
      <c r="L13" s="11">
        <f>F13+I13</f>
        <v/>
      </c>
      <c r="M13" s="13">
        <f>L13/B13</f>
        <v/>
      </c>
      <c r="N13" s="13">
        <f>C13-M13</f>
        <v/>
      </c>
      <c r="O13" s="11">
        <f>C13*B13-L13</f>
        <v/>
      </c>
      <c r="P13" s="12">
        <f>IF(C13*B13=0,0,L13/(C13*B13))</f>
        <v/>
      </c>
      <c r="Q13" s="11">
        <f>IF(L13=0,0,L13/(C13*'Inputs'!$B$10))</f>
        <v/>
      </c>
      <c r="R13" s="11">
        <f>IF(L13=0,0,L13/(C13*'Inputs'!$B$11))</f>
        <v/>
      </c>
      <c r="S13" s="12">
        <f>IF(R13&lt;=0,0,1-R13/B13)</f>
        <v/>
      </c>
      <c r="T13" s="6">
        <f>IF(P13&gt;='Inputs'!$B$11,"LIQUIDATED",IF(P13&gt;='Inputs'!$B$10,"MARGIN CALL",IF(OR(P13&gt;='Inputs'!$B$23,S13&lt;'Inputs'!$B$12),"WARNING",IF(AND(G13&gt;0,I13=0),"FAILED",IF(I13&lt;G13,"CONSTRAINED","SAFE")))))</f>
        <v/>
      </c>
    </row>
    <row r="14">
      <c r="A14" s="6" t="n">
        <v>10</v>
      </c>
      <c r="B14" s="11">
        <f>'Price Projection'!B14</f>
        <v/>
      </c>
      <c r="C14" s="13">
        <f>'Inputs'!$B$7</f>
        <v/>
      </c>
      <c r="D14" s="11">
        <f>L13</f>
        <v/>
      </c>
      <c r="E14" s="11">
        <f>D14*'Inputs'!$B$8</f>
        <v/>
      </c>
      <c r="F14" s="11">
        <f>IF('Inputs'!$B$9="capitalized",D14+E14,D14)</f>
        <v/>
      </c>
      <c r="G14" s="11">
        <f>'Inputs'!$B$19</f>
        <v/>
      </c>
      <c r="H14" s="11">
        <f>MAX(0,MIN(C14*B14*'Inputs'!$B$20,C14*B14*'Inputs'!$B$11*(1-'Inputs'!$B$12))-F14)</f>
        <v/>
      </c>
      <c r="I14" s="11">
        <f>IF(IF(C14*B14=0,0,F14/(C14*B14))&gt;='Inputs'!$B$10,0,MIN(G14,H14))</f>
        <v/>
      </c>
      <c r="J14" s="11">
        <f>G14-I14</f>
        <v/>
      </c>
      <c r="K14" s="11">
        <f>K13+I14</f>
        <v/>
      </c>
      <c r="L14" s="11">
        <f>F14+I14</f>
        <v/>
      </c>
      <c r="M14" s="13">
        <f>L14/B14</f>
        <v/>
      </c>
      <c r="N14" s="13">
        <f>C14-M14</f>
        <v/>
      </c>
      <c r="O14" s="11">
        <f>C14*B14-L14</f>
        <v/>
      </c>
      <c r="P14" s="12">
        <f>IF(C14*B14=0,0,L14/(C14*B14))</f>
        <v/>
      </c>
      <c r="Q14" s="11">
        <f>IF(L14=0,0,L14/(C14*'Inputs'!$B$10))</f>
        <v/>
      </c>
      <c r="R14" s="11">
        <f>IF(L14=0,0,L14/(C14*'Inputs'!$B$11))</f>
        <v/>
      </c>
      <c r="S14" s="12">
        <f>IF(R14&lt;=0,0,1-R14/B14)</f>
        <v/>
      </c>
      <c r="T14" s="6">
        <f>IF(P14&gt;='Inputs'!$B$11,"LIQUIDATED",IF(P14&gt;='Inputs'!$B$10,"MARGIN CALL",IF(OR(P14&gt;='Inputs'!$B$23,S14&lt;'Inputs'!$B$12),"WARNING",IF(AND(G14&gt;0,I14=0),"FAILED",IF(I14&lt;G14,"CONSTRAINED","SAFE")))))</f>
        <v/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Risk Alerts</t>
        </is>
      </c>
    </row>
    <row r="2"/>
    <row r="3">
      <c r="A3" s="2" t="inlineStr">
        <is>
          <t>Metric</t>
        </is>
      </c>
      <c r="B3" s="2" t="inlineStr">
        <is>
          <t>Value</t>
        </is>
      </c>
    </row>
    <row r="4">
      <c r="A4" s="3" t="inlineStr">
        <is>
          <t>Accumulation risk path</t>
        </is>
      </c>
    </row>
    <row r="5">
      <c r="A5" s="7" t="inlineStr">
        <is>
          <t>Accumulation max effective LTV</t>
        </is>
      </c>
      <c r="B5" s="12">
        <f>MAX('Accumulation Engine'!Q4:Q14)</f>
        <v/>
      </c>
    </row>
    <row r="6">
      <c r="A6" s="7" t="inlineStr">
        <is>
          <t>Accumulation min drop-to-liquidation</t>
        </is>
      </c>
      <c r="B6" s="12">
        <f>MIN('Accumulation Engine'!U4:U14)</f>
        <v/>
      </c>
    </row>
    <row r="7">
      <c r="A7" s="7" t="inlineStr">
        <is>
          <t>Accumulation first non-safe year</t>
        </is>
      </c>
      <c r="B7" s="6">
        <f>IF(COUNTIF('Accumulation Engine'!$V$4:$V$14,"&lt;&gt;SAFE")=0,"None",INDEX('Accumulation Engine'!$A$4:$A$14,AGGREGATE(15,6,(ROW('Accumulation Engine'!$V$4:$V$14)-ROW('Accumulation Engine'!$V$4)+1)/('Accumulation Engine'!$V$4:$V$14&lt;&gt;"SAFE"),1)))</f>
        <v/>
      </c>
    </row>
    <row r="8">
      <c r="A8" s="7" t="inlineStr">
        <is>
          <t>Accumulation liquidation year</t>
        </is>
      </c>
      <c r="B8" s="6">
        <f>IFERROR(INDEX('Accumulation Engine'!$A$4:$A$14,MATCH("LIQUIDATED",'Accumulation Engine'!$V$4:$V$14,0)),"None")</f>
        <v/>
      </c>
    </row>
    <row r="9">
      <c r="A9" s="7" t="inlineStr">
        <is>
          <t>Accumulation total interest accrued</t>
        </is>
      </c>
      <c r="B9" s="11">
        <f>SUM('Accumulation Engine'!E4:E14)</f>
        <v/>
      </c>
    </row>
    <row r="10">
      <c r="A10" s="7" t="inlineStr">
        <is>
          <t>Accumulation total new borrowing</t>
        </is>
      </c>
      <c r="B10" s="11">
        <f>SUM('Accumulation Engine'!H4:H14)</f>
        <v/>
      </c>
    </row>
    <row r="11">
      <c r="A11" s="7" t="inlineStr">
        <is>
          <t>Accumulation ending net BTC</t>
        </is>
      </c>
      <c r="B11" s="13">
        <f>'Accumulation Engine'!N14</f>
        <v/>
      </c>
    </row>
    <row r="12">
      <c r="A12" s="7" t="inlineStr">
        <is>
          <t>Accumulation BTC outperformance vs passive</t>
        </is>
      </c>
      <c r="B12" s="13">
        <f>'Accumulation Engine'!N14-'Inputs'!$B$7</f>
        <v/>
      </c>
    </row>
    <row r="13">
      <c r="A13" s="3" t="inlineStr">
        <is>
          <t>Income risk path</t>
        </is>
      </c>
    </row>
    <row r="14">
      <c r="A14" s="7" t="inlineStr">
        <is>
          <t>Income max effective LTV</t>
        </is>
      </c>
      <c r="B14" s="12">
        <f>MAX('Income Engine'!P4:P14)</f>
        <v/>
      </c>
    </row>
    <row r="15">
      <c r="A15" s="7" t="inlineStr">
        <is>
          <t>Income min drop-to-liquidation</t>
        </is>
      </c>
      <c r="B15" s="12">
        <f>MIN('Income Engine'!S4:S14)</f>
        <v/>
      </c>
    </row>
    <row r="16">
      <c r="A16" s="7" t="inlineStr">
        <is>
          <t>Income first constrained year</t>
        </is>
      </c>
      <c r="B16" s="6">
        <f>IFERROR(INDEX('Income Engine'!$A$4:$A$14,MATCH("CONSTRAINED",'Income Engine'!$T$4:$T$14,0)),"None")</f>
        <v/>
      </c>
    </row>
    <row r="17">
      <c r="A17" s="7" t="inlineStr">
        <is>
          <t>Income liquidation year</t>
        </is>
      </c>
      <c r="B17" s="6">
        <f>IFERROR(INDEX('Income Engine'!$A$4:$A$14,MATCH("LIQUIDATED",'Income Engine'!$T$4:$T$14,0)),"None")</f>
        <v/>
      </c>
    </row>
    <row r="18">
      <c r="A18" s="7" t="inlineStr">
        <is>
          <t>Income total interest accrued</t>
        </is>
      </c>
      <c r="B18" s="11">
        <f>SUM('Income Engine'!E4:E14)</f>
        <v/>
      </c>
    </row>
    <row r="19">
      <c r="A19" s="7" t="inlineStr">
        <is>
          <t>Income total funded</t>
        </is>
      </c>
      <c r="B19" s="11">
        <f>SUM('Income Engine'!I4:I14)</f>
        <v/>
      </c>
    </row>
    <row r="20">
      <c r="A20" s="7" t="inlineStr">
        <is>
          <t>Income total shortfall</t>
        </is>
      </c>
      <c r="B20" s="11">
        <f>SUM('Income Engine'!J4:J14)</f>
        <v/>
      </c>
    </row>
    <row r="21">
      <c r="A21" s="3" t="inlineStr">
        <is>
          <t>Passive hold comparison</t>
        </is>
      </c>
    </row>
    <row r="22">
      <c r="A22" s="7" t="inlineStr">
        <is>
          <t>Passive BTC held</t>
        </is>
      </c>
      <c r="B22" s="13">
        <f>'Inputs'!$B$7</f>
        <v/>
      </c>
    </row>
    <row r="23">
      <c r="A23" s="7" t="inlineStr">
        <is>
          <t>Passive ending value</t>
        </is>
      </c>
      <c r="B23" s="11">
        <f>'Inputs'!$B$7*'Price Projection'!B14</f>
        <v/>
      </c>
    </row>
  </sheetData>
  <mergeCells count="4">
    <mergeCell ref="A4:B4"/>
    <mergeCell ref="A13:B13"/>
    <mergeCell ref="A21:B21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BTC-Backed Loan Model v2 Summary</t>
        </is>
      </c>
    </row>
    <row r="2"/>
    <row r="3">
      <c r="A3" s="2" t="inlineStr">
        <is>
          <t>Metric</t>
        </is>
      </c>
      <c r="B3" s="2" t="inlineStr">
        <is>
          <t>Value</t>
        </is>
      </c>
    </row>
    <row r="4">
      <c r="A4" s="7" t="inlineStr">
        <is>
          <t>Passive starting BTC</t>
        </is>
      </c>
      <c r="B4" s="13">
        <f>'Inputs'!$B$7</f>
        <v/>
      </c>
    </row>
    <row r="5">
      <c r="A5" s="7" t="inlineStr">
        <is>
          <t>Passive ending BTC</t>
        </is>
      </c>
      <c r="B5" s="13">
        <f>'Inputs'!$B$7</f>
        <v/>
      </c>
    </row>
    <row r="6">
      <c r="A6" s="7" t="inlineStr">
        <is>
          <t>Passive ending value</t>
        </is>
      </c>
      <c r="B6" s="11">
        <f>'Inputs'!$B$7*'Price Projection'!B14</f>
        <v/>
      </c>
    </row>
    <row r="7">
      <c r="A7" s="7" t="inlineStr">
        <is>
          <t>Accumulation setup gross BTC</t>
        </is>
      </c>
      <c r="B7" s="13">
        <f>'Accumulation Engine'!J4</f>
        <v/>
      </c>
    </row>
    <row r="8">
      <c r="A8" s="7" t="inlineStr">
        <is>
          <t>Accumulation ending gross BTC</t>
        </is>
      </c>
      <c r="B8" s="13">
        <f>'Accumulation Engine'!J14</f>
        <v/>
      </c>
    </row>
    <row r="9">
      <c r="A9" s="7" t="inlineStr">
        <is>
          <t>Accumulation ending debt</t>
        </is>
      </c>
      <c r="B9" s="11">
        <f>'Accumulation Engine'!K14</f>
        <v/>
      </c>
    </row>
    <row r="10">
      <c r="A10" s="7" t="inlineStr">
        <is>
          <t>Accumulation ending net BTC</t>
        </is>
      </c>
      <c r="B10" s="13">
        <f>'Accumulation Engine'!N14</f>
        <v/>
      </c>
    </row>
    <row r="11">
      <c r="A11" s="7" t="inlineStr">
        <is>
          <t>Accumulation ending LTV</t>
        </is>
      </c>
      <c r="B11" s="12">
        <f>'Accumulation Engine'!Q14</f>
        <v/>
      </c>
    </row>
    <row r="12">
      <c r="A12" s="7" t="inlineStr">
        <is>
          <t>Accumulation status</t>
        </is>
      </c>
      <c r="B12" s="6">
        <f>'Accumulation Engine'!V14</f>
        <v/>
      </c>
    </row>
    <row r="13">
      <c r="A13" s="7" t="inlineStr">
        <is>
          <t>Income selected draw year 1</t>
        </is>
      </c>
      <c r="B13" s="11">
        <f>'Inputs'!$B$19</f>
        <v/>
      </c>
    </row>
    <row r="14">
      <c r="A14" s="7" t="inlineStr">
        <is>
          <t>Income funded year 1</t>
        </is>
      </c>
      <c r="B14" s="11">
        <f>'Income Engine'!I5</f>
        <v/>
      </c>
    </row>
    <row r="15">
      <c r="A15" s="7" t="inlineStr">
        <is>
          <t>Income shortfall year 1</t>
        </is>
      </c>
      <c r="B15" s="11">
        <f>'Income Engine'!J5</f>
        <v/>
      </c>
    </row>
    <row r="16">
      <c r="A16" s="7" t="inlineStr">
        <is>
          <t>Income ending debt</t>
        </is>
      </c>
      <c r="B16" s="11">
        <f>'Income Engine'!L14</f>
        <v/>
      </c>
    </row>
    <row r="17">
      <c r="A17" s="7" t="inlineStr">
        <is>
          <t>Income ending net BTC</t>
        </is>
      </c>
      <c r="B17" s="13">
        <f>'Income Engine'!N14</f>
        <v/>
      </c>
    </row>
    <row r="18">
      <c r="A18" s="7" t="inlineStr">
        <is>
          <t>Income status</t>
        </is>
      </c>
      <c r="B18" s="6">
        <f>'Income Engine'!T14</f>
        <v/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Audit Examples</t>
        </is>
      </c>
    </row>
    <row r="2"/>
    <row r="3">
      <c r="A3" s="2" t="inlineStr">
        <is>
          <t>Audit Check</t>
        </is>
      </c>
      <c r="B3" s="2" t="inlineStr">
        <is>
          <t>Expected / Model Value</t>
        </is>
      </c>
    </row>
    <row r="4">
      <c r="A4" s="7" t="inlineStr">
        <is>
          <t>Starting BTC</t>
        </is>
      </c>
      <c r="B4" s="13" t="n">
        <v>2</v>
      </c>
    </row>
    <row r="5">
      <c r="A5" s="7" t="inlineStr">
        <is>
          <t>Target effective LTV</t>
        </is>
      </c>
      <c r="B5" s="12" t="n">
        <v>0.25</v>
      </c>
    </row>
    <row r="6">
      <c r="A6" s="7" t="inlineStr">
        <is>
          <t>Final collateral BTC</t>
        </is>
      </c>
      <c r="B6" s="13" t="n">
        <v>2.666666666666667</v>
      </c>
    </row>
    <row r="7">
      <c r="A7" s="7" t="inlineStr">
        <is>
          <t>BTC purchased</t>
        </is>
      </c>
      <c r="B7" s="13" t="n">
        <v>0.6666666666666665</v>
      </c>
    </row>
    <row r="8">
      <c r="A8" s="7" t="inlineStr">
        <is>
          <t>Debt</t>
        </is>
      </c>
      <c r="B8" s="11" t="n">
        <v>40000</v>
      </c>
    </row>
    <row r="9">
      <c r="A9" s="7" t="inlineStr">
        <is>
          <t>Effective LTV</t>
        </is>
      </c>
      <c r="B9" s="12" t="n">
        <v>0.25</v>
      </c>
    </row>
    <row r="10">
      <c r="A10" s="7" t="inlineStr">
        <is>
          <t>Liquidation price</t>
        </is>
      </c>
      <c r="B10" s="11" t="n">
        <v>20000</v>
      </c>
    </row>
    <row r="11"/>
    <row r="12"/>
    <row r="13">
      <c r="A13" s="3" t="inlineStr">
        <is>
          <t>Double-loop / 30.6% effective LTV example</t>
        </is>
      </c>
    </row>
    <row r="14">
      <c r="A14" s="7" t="inlineStr">
        <is>
          <t>Starting BTC</t>
        </is>
      </c>
      <c r="B14" s="13" t="n">
        <v>2</v>
      </c>
    </row>
    <row r="15">
      <c r="A15" s="7" t="inlineStr">
        <is>
          <t>BTC price</t>
        </is>
      </c>
      <c r="B15" s="11" t="n">
        <v>60000</v>
      </c>
    </row>
    <row r="16">
      <c r="A16" s="7" t="inlineStr">
        <is>
          <t>Gross BTC ≈</t>
        </is>
      </c>
      <c r="B16" s="13" t="n">
        <v>2.883</v>
      </c>
    </row>
    <row r="17">
      <c r="A17" s="7" t="inlineStr">
        <is>
          <t>Effective LTV ≈</t>
        </is>
      </c>
      <c r="B17" s="12" t="n">
        <v>0.306</v>
      </c>
    </row>
    <row r="18">
      <c r="A18" s="7" t="inlineStr">
        <is>
          <t>Debt ≈</t>
        </is>
      </c>
      <c r="B18" s="11" t="n">
        <v>53000</v>
      </c>
    </row>
    <row r="19"/>
    <row r="20">
      <c r="A20" s="3" t="inlineStr">
        <is>
          <t>Income capacity example</t>
        </is>
      </c>
    </row>
    <row r="21">
      <c r="A21" s="7" t="inlineStr">
        <is>
          <t>Collateral BTC</t>
        </is>
      </c>
      <c r="B21" s="13" t="n">
        <v>2</v>
      </c>
    </row>
    <row r="22">
      <c r="A22" s="7" t="inlineStr">
        <is>
          <t>BTC price</t>
        </is>
      </c>
      <c r="B22" s="11" t="n">
        <v>100000</v>
      </c>
    </row>
    <row r="23">
      <c r="A23" s="7" t="inlineStr">
        <is>
          <t>Existing debt</t>
        </is>
      </c>
      <c r="B23" s="11" t="n">
        <v>30000</v>
      </c>
    </row>
    <row r="24">
      <c r="A24" s="7" t="inlineStr">
        <is>
          <t>Income LTV ceiling</t>
        </is>
      </c>
      <c r="B24" s="12" t="n">
        <v>0.35</v>
      </c>
    </row>
    <row r="25">
      <c r="A25" s="7" t="inlineStr">
        <is>
          <t>Selected income draw</t>
        </is>
      </c>
      <c r="B25" s="11" t="n">
        <v>50000</v>
      </c>
    </row>
    <row r="26">
      <c r="A26" s="7" t="inlineStr">
        <is>
          <t>Max safe debt</t>
        </is>
      </c>
      <c r="B26" s="11" t="n">
        <v>70000</v>
      </c>
    </row>
    <row r="27">
      <c r="A27" s="7" t="inlineStr">
        <is>
          <t>Income borrowed</t>
        </is>
      </c>
      <c r="B27" s="11" t="n">
        <v>40000</v>
      </c>
    </row>
    <row r="28">
      <c r="A28" s="7" t="inlineStr">
        <is>
          <t>Unfunded income</t>
        </is>
      </c>
      <c r="B28" s="11" t="n">
        <v>10000</v>
      </c>
    </row>
    <row r="29">
      <c r="A29" s="7" t="inlineStr">
        <is>
          <t>Debt end</t>
        </is>
      </c>
      <c r="B29" s="11" t="n">
        <v>70000</v>
      </c>
    </row>
  </sheetData>
  <mergeCells count="3">
    <mergeCell ref="A13:B13"/>
    <mergeCell ref="A20:B20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2026-05-29T14:31:59Z</dcterms:created>
  <dcterms:modified xsi:type="dcterms:W3CDTF">2026-05-29T14:31:59Z</dcterms:modified>
</cp:coreProperties>
</file>