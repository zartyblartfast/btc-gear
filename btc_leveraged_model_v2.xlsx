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Price Projection" sheetId="2" state="visible" r:id="rId2"/>
    <sheet name="Accumulation Engine" sheetId="3" state="visible" r:id="rId3"/>
    <sheet name="Income Engine" sheetId="4" state="visible" r:id="rId4"/>
    <sheet name="Risk Alerts" sheetId="5" state="visible" r:id="rId5"/>
    <sheet name="Summary" sheetId="6" state="visible" r:id="rId6"/>
    <sheet name="Audit Examples" sheetId="7" state="visible" r:id="rId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000000"/>
  </numFmts>
  <fonts count="6">
    <font>
      <name val="Calibri"/>
      <family val="2"/>
      <color theme="1"/>
      <sz val="11"/>
      <scheme val="minor"/>
    </font>
    <font>
      <name val="Calibri"/>
      <b val="1"/>
      <color rgb="00023D4B"/>
      <sz val="18"/>
    </font>
    <font>
      <name val="Calibri"/>
      <b val="1"/>
      <color rgb="00FFFFFF"/>
      <sz val="11"/>
    </font>
    <font>
      <name val="Calibri"/>
      <b val="1"/>
      <color rgb="00023D4B"/>
      <sz val="12"/>
    </font>
    <font>
      <name val="Calibri"/>
      <color rgb="00333333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023D4B"/>
        <bgColor rgb="00023D4B"/>
      </patternFill>
    </fill>
    <fill>
      <patternFill patternType="solid">
        <fgColor rgb="00D1ECF1"/>
        <bgColor rgb="00D1ECF1"/>
      </patternFill>
    </fill>
    <fill>
      <patternFill patternType="solid">
        <fgColor rgb="00F6F6F6"/>
        <bgColor rgb="00F6F6F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2" customWidth="1" min="3" max="3"/>
    <col width="28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BTC-Backed Loan Model v2 Inputs</t>
        </is>
      </c>
    </row>
    <row r="2"/>
    <row r="3">
      <c r="A3" s="2" t="inlineStr">
        <is>
          <t>Input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Notes</t>
        </is>
      </c>
    </row>
    <row r="4">
      <c r="A4" s="3" t="inlineStr">
        <is>
          <t>Shared</t>
        </is>
      </c>
    </row>
    <row r="5">
      <c r="A5" s="4" t="inlineStr">
        <is>
          <t>Current BTC Price</t>
        </is>
      </c>
      <c r="B5" s="5" t="n">
        <v>60000</v>
      </c>
      <c r="C5" s="6" t="inlineStr">
        <is>
          <t>USD</t>
        </is>
      </c>
      <c r="D5" s="7" t="inlineStr">
        <is>
          <t>Year 0 price; feeds Price Projection</t>
        </is>
      </c>
    </row>
    <row r="6">
      <c r="A6" s="4" t="inlineStr">
        <is>
          <t>Annual BTC Price Growth</t>
        </is>
      </c>
      <c r="B6" s="8" t="n">
        <v>0</v>
      </c>
      <c r="C6" s="6" t="inlineStr">
        <is>
          <t>%</t>
        </is>
      </c>
      <c r="D6" s="7" t="inlineStr">
        <is>
          <t>Editable flat/default projection growth rate</t>
        </is>
      </c>
    </row>
    <row r="7">
      <c r="A7" s="4" t="inlineStr">
        <is>
          <t>Starting BTC</t>
        </is>
      </c>
      <c r="B7" s="9" t="n">
        <v>2</v>
      </c>
      <c r="C7" s="6" t="inlineStr">
        <is>
          <t>BTC</t>
        </is>
      </c>
      <c r="D7" s="7" t="inlineStr">
        <is>
          <t>Collateral used by both engines</t>
        </is>
      </c>
    </row>
    <row r="8">
      <c r="A8" s="4" t="inlineStr">
        <is>
          <t>Borrow APR</t>
        </is>
      </c>
      <c r="B8" s="8" t="n">
        <v>0.1</v>
      </c>
      <c r="C8" s="6" t="inlineStr">
        <is>
          <t>%</t>
        </is>
      </c>
      <c r="D8" s="7" t="inlineStr">
        <is>
          <t>Interest accrues on start-of-row debt</t>
        </is>
      </c>
    </row>
    <row r="9">
      <c r="A9" s="4" t="inlineStr">
        <is>
          <t>Interest Treatment</t>
        </is>
      </c>
      <c r="B9" s="10" t="inlineStr">
        <is>
          <t>capitalized</t>
        </is>
      </c>
      <c r="C9" s="6" t="inlineStr">
        <is>
          <t>choice</t>
        </is>
      </c>
      <c r="D9" s="7" t="inlineStr">
        <is>
          <t>capitalized or paid externally</t>
        </is>
      </c>
    </row>
    <row r="10">
      <c r="A10" s="4" t="inlineStr">
        <is>
          <t>Margin Call LTV</t>
        </is>
      </c>
      <c r="B10" s="8" t="n">
        <v>0.7</v>
      </c>
      <c r="C10" s="6" t="inlineStr">
        <is>
          <t>%</t>
        </is>
      </c>
      <c r="D10" s="7" t="inlineStr">
        <is>
          <t>Risk threshold</t>
        </is>
      </c>
    </row>
    <row r="11">
      <c r="A11" s="4" t="inlineStr">
        <is>
          <t>Liquidation LTV</t>
        </is>
      </c>
      <c r="B11" s="8" t="n">
        <v>0.75</v>
      </c>
      <c r="C11" s="6" t="inlineStr">
        <is>
          <t>%</t>
        </is>
      </c>
      <c r="D11" s="7" t="inlineStr">
        <is>
          <t>Risk threshold</t>
        </is>
      </c>
    </row>
    <row r="12">
      <c r="A12" s="4" t="inlineStr">
        <is>
          <t>Minimum Liquidation Buffer</t>
        </is>
      </c>
      <c r="B12" s="8" t="n">
        <v>0.5</v>
      </c>
      <c r="C12" s="6" t="inlineStr">
        <is>
          <t>%</t>
        </is>
      </c>
      <c r="D12" s="7" t="inlineStr">
        <is>
          <t>Required price-drop buffer</t>
        </is>
      </c>
    </row>
    <row r="13">
      <c r="A13" s="3" t="inlineStr">
        <is>
          <t>Accumulation</t>
        </is>
      </c>
    </row>
    <row r="14">
      <c r="A14" s="4" t="inlineStr">
        <is>
          <t>Target Effective LTV</t>
        </is>
      </c>
      <c r="B14" s="8" t="n">
        <v>0.25</v>
      </c>
      <c r="C14" s="6" t="inlineStr">
        <is>
          <t>%</t>
        </is>
      </c>
      <c r="D14" s="7" t="inlineStr">
        <is>
          <t>Recursive setup/top-up target</t>
        </is>
      </c>
    </row>
    <row r="15">
      <c r="A15" s="4" t="inlineStr">
        <is>
          <t>Max Effective LTV</t>
        </is>
      </c>
      <c r="B15" s="8" t="n">
        <v>0.35</v>
      </c>
      <c r="C15" s="6" t="inlineStr">
        <is>
          <t>%</t>
        </is>
      </c>
      <c r="D15" s="7" t="inlineStr">
        <is>
          <t>Hard cap</t>
        </is>
      </c>
    </row>
    <row r="16">
      <c r="A16" s="4" t="inlineStr">
        <is>
          <t>Setup Collateral BTC</t>
        </is>
      </c>
      <c r="B16" s="9">
        <f>$B$7/(1-MIN($B$14,$B$15,$B$11*(1-$B$12)))</f>
        <v/>
      </c>
      <c r="C16" s="6" t="inlineStr">
        <is>
          <t>BTC</t>
        </is>
      </c>
      <c r="D16" s="7" t="inlineStr">
        <is>
          <t>Formula output from starting BTC and effective LTV cap</t>
        </is>
      </c>
    </row>
    <row r="17">
      <c r="A17" s="3" t="inlineStr">
        <is>
          <t>Income</t>
        </is>
      </c>
    </row>
    <row r="18">
      <c r="A18" s="4" t="inlineStr">
        <is>
          <t>Max Available Annual Income (Year 1)</t>
        </is>
      </c>
      <c r="B18" s="5">
        <f>MAX(0,$B$7*'Price Projection'!B5*MIN($B$20,$B$11*(1-$B$12)))</f>
        <v/>
      </c>
      <c r="C18" s="6" t="inlineStr">
        <is>
          <t>USD</t>
        </is>
      </c>
      <c r="D18" s="7" t="inlineStr">
        <is>
          <t>Formula output from BTC collateral, LTV ceiling, and liquidation buffer</t>
        </is>
      </c>
    </row>
    <row r="19">
      <c r="A19" s="4" t="inlineStr">
        <is>
          <t>Selected Annual Income Draw</t>
        </is>
      </c>
      <c r="B19" s="5" t="n">
        <v>50000</v>
      </c>
      <c r="C19" s="6" t="inlineStr">
        <is>
          <t>USD</t>
        </is>
      </c>
      <c r="D19" s="7" t="inlineStr">
        <is>
          <t>User-selected draw; capped by max available annual income</t>
        </is>
      </c>
    </row>
    <row r="20">
      <c r="A20" s="4" t="inlineStr">
        <is>
          <t>Income LTV Ceiling</t>
        </is>
      </c>
      <c r="B20" s="8" t="n">
        <v>0.35</v>
      </c>
      <c r="C20" s="6" t="inlineStr">
        <is>
          <t>%</t>
        </is>
      </c>
      <c r="D20" s="7" t="inlineStr">
        <is>
          <t>Safe debt ceiling</t>
        </is>
      </c>
    </row>
    <row r="21">
      <c r="A21" s="4" t="inlineStr">
        <is>
          <t>Setup Collateral BTC</t>
        </is>
      </c>
      <c r="B21" s="9">
        <f>$B$7</f>
        <v/>
      </c>
      <c r="C21" s="6" t="inlineStr">
        <is>
          <t>BTC</t>
        </is>
      </c>
      <c r="D21" s="7" t="inlineStr">
        <is>
          <t>Income keeps BTC constant</t>
        </is>
      </c>
    </row>
    <row r="22">
      <c r="A22" s="3" t="inlineStr">
        <is>
          <t>Advanced Risk</t>
        </is>
      </c>
    </row>
    <row r="23">
      <c r="A23" s="4" t="inlineStr">
        <is>
          <t>Warning LTV</t>
        </is>
      </c>
      <c r="B23" s="8" t="n">
        <v>0.6</v>
      </c>
      <c r="C23" s="6" t="inlineStr">
        <is>
          <t>%</t>
        </is>
      </c>
      <c r="D23" s="7" t="inlineStr">
        <is>
          <t>Status changes to WARNING at or above this LTV</t>
        </is>
      </c>
    </row>
    <row r="24">
      <c r="A24" s="3" t="inlineStr">
        <is>
          <t>Projection Controls</t>
        </is>
      </c>
    </row>
    <row r="25">
      <c r="A25" s="4" t="inlineStr">
        <is>
          <t>Projection Years</t>
        </is>
      </c>
      <c r="B25" s="10" t="n">
        <v>10</v>
      </c>
      <c r="C25" s="6" t="inlineStr">
        <is>
          <t>years</t>
        </is>
      </c>
      <c r="D25" s="7" t="inlineStr">
        <is>
          <t>Editable duration; 10 means Start Year through Start Year + 10</t>
        </is>
      </c>
    </row>
    <row r="26">
      <c r="A26" s="4" t="inlineStr">
        <is>
          <t>Start Year</t>
        </is>
      </c>
      <c r="B26" s="10" t="n">
        <v>2026</v>
      </c>
      <c r="C26" s="6" t="inlineStr">
        <is>
          <t>year</t>
        </is>
      </c>
      <c r="D26" s="7" t="inlineStr">
        <is>
          <t>First displayed projection year</t>
        </is>
      </c>
    </row>
  </sheetData>
  <mergeCells count="6">
    <mergeCell ref="A17:D17"/>
    <mergeCell ref="A22:D22"/>
    <mergeCell ref="A4:D4"/>
    <mergeCell ref="A24:D24"/>
    <mergeCell ref="A1:H1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7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Price Projection</t>
        </is>
      </c>
    </row>
    <row r="2"/>
    <row r="3">
      <c r="A3" s="2" t="inlineStr">
        <is>
          <t>Year</t>
        </is>
      </c>
      <c r="B3" s="2" t="inlineStr">
        <is>
          <t>BTC Price</t>
        </is>
      </c>
      <c r="C3" s="2" t="inlineStr">
        <is>
          <t>Scenario</t>
        </is>
      </c>
      <c r="D3" s="2" t="inlineStr">
        <is>
          <t>YoY Change</t>
        </is>
      </c>
    </row>
    <row r="4">
      <c r="A4" s="6">
        <f>IF(0&lt;='Inputs'!$B$25,'Inputs'!$B$26+0,"")</f>
        <v/>
      </c>
      <c r="B4" s="11">
        <f>IF($A4="", "", 'Inputs'!$B$5)</f>
        <v/>
      </c>
      <c r="C4" s="6">
        <f>IF($A4="","","Editable formula projection")</f>
        <v/>
      </c>
      <c r="D4" s="12">
        <f>IF($A4="","",0)</f>
        <v/>
      </c>
    </row>
    <row r="5">
      <c r="A5" s="6">
        <f>IF(1&lt;='Inputs'!$B$25,'Inputs'!$B$26+1,"")</f>
        <v/>
      </c>
      <c r="B5" s="11">
        <f>IF($A5="","",B4*(1+'Inputs'!$B$6))</f>
        <v/>
      </c>
      <c r="C5" s="6">
        <f>IF($A5="","","Editable formula projection")</f>
        <v/>
      </c>
      <c r="D5" s="12">
        <f>IF($A5="","",B5/B4-1)</f>
        <v/>
      </c>
    </row>
    <row r="6">
      <c r="A6" s="6">
        <f>IF(2&lt;='Inputs'!$B$25,'Inputs'!$B$26+2,"")</f>
        <v/>
      </c>
      <c r="B6" s="11">
        <f>IF($A6="","",B5*(1+'Inputs'!$B$6))</f>
        <v/>
      </c>
      <c r="C6" s="6">
        <f>IF($A6="","","Editable formula projection")</f>
        <v/>
      </c>
      <c r="D6" s="12">
        <f>IF($A6="","",B6/B5-1)</f>
        <v/>
      </c>
    </row>
    <row r="7">
      <c r="A7" s="6">
        <f>IF(3&lt;='Inputs'!$B$25,'Inputs'!$B$26+3,"")</f>
        <v/>
      </c>
      <c r="B7" s="11">
        <f>IF($A7="","",B6*(1+'Inputs'!$B$6))</f>
        <v/>
      </c>
      <c r="C7" s="6">
        <f>IF($A7="","","Editable formula projection")</f>
        <v/>
      </c>
      <c r="D7" s="12">
        <f>IF($A7="","",B7/B6-1)</f>
        <v/>
      </c>
    </row>
    <row r="8">
      <c r="A8" s="6">
        <f>IF(4&lt;='Inputs'!$B$25,'Inputs'!$B$26+4,"")</f>
        <v/>
      </c>
      <c r="B8" s="11">
        <f>IF($A8="","",B7*(1+'Inputs'!$B$6))</f>
        <v/>
      </c>
      <c r="C8" s="6">
        <f>IF($A8="","","Editable formula projection")</f>
        <v/>
      </c>
      <c r="D8" s="12">
        <f>IF($A8="","",B8/B7-1)</f>
        <v/>
      </c>
    </row>
    <row r="9">
      <c r="A9" s="6">
        <f>IF(5&lt;='Inputs'!$B$25,'Inputs'!$B$26+5,"")</f>
        <v/>
      </c>
      <c r="B9" s="11">
        <f>IF($A9="","",B8*(1+'Inputs'!$B$6))</f>
        <v/>
      </c>
      <c r="C9" s="6">
        <f>IF($A9="","","Editable formula projection")</f>
        <v/>
      </c>
      <c r="D9" s="12">
        <f>IF($A9="","",B9/B8-1)</f>
        <v/>
      </c>
    </row>
    <row r="10">
      <c r="A10" s="6">
        <f>IF(6&lt;='Inputs'!$B$25,'Inputs'!$B$26+6,"")</f>
        <v/>
      </c>
      <c r="B10" s="11">
        <f>IF($A10="","",B9*(1+'Inputs'!$B$6))</f>
        <v/>
      </c>
      <c r="C10" s="6">
        <f>IF($A10="","","Editable formula projection")</f>
        <v/>
      </c>
      <c r="D10" s="12">
        <f>IF($A10="","",B10/B9-1)</f>
        <v/>
      </c>
    </row>
    <row r="11">
      <c r="A11" s="6">
        <f>IF(7&lt;='Inputs'!$B$25,'Inputs'!$B$26+7,"")</f>
        <v/>
      </c>
      <c r="B11" s="11">
        <f>IF($A11="","",B10*(1+'Inputs'!$B$6))</f>
        <v/>
      </c>
      <c r="C11" s="6">
        <f>IF($A11="","","Editable formula projection")</f>
        <v/>
      </c>
      <c r="D11" s="12">
        <f>IF($A11="","",B11/B10-1)</f>
        <v/>
      </c>
    </row>
    <row r="12">
      <c r="A12" s="6">
        <f>IF(8&lt;='Inputs'!$B$25,'Inputs'!$B$26+8,"")</f>
        <v/>
      </c>
      <c r="B12" s="11">
        <f>IF($A12="","",B11*(1+'Inputs'!$B$6))</f>
        <v/>
      </c>
      <c r="C12" s="6">
        <f>IF($A12="","","Editable formula projection")</f>
        <v/>
      </c>
      <c r="D12" s="12">
        <f>IF($A12="","",B12/B11-1)</f>
        <v/>
      </c>
    </row>
    <row r="13">
      <c r="A13" s="6">
        <f>IF(9&lt;='Inputs'!$B$25,'Inputs'!$B$26+9,"")</f>
        <v/>
      </c>
      <c r="B13" s="11">
        <f>IF($A13="","",B12*(1+'Inputs'!$B$6))</f>
        <v/>
      </c>
      <c r="C13" s="6">
        <f>IF($A13="","","Editable formula projection")</f>
        <v/>
      </c>
      <c r="D13" s="12">
        <f>IF($A13="","",B13/B12-1)</f>
        <v/>
      </c>
    </row>
    <row r="14">
      <c r="A14" s="6">
        <f>IF(10&lt;='Inputs'!$B$25,'Inputs'!$B$26+10,"")</f>
        <v/>
      </c>
      <c r="B14" s="11">
        <f>IF($A14="","",B13*(1+'Inputs'!$B$6))</f>
        <v/>
      </c>
      <c r="C14" s="6">
        <f>IF($A14="","","Editable formula projection")</f>
        <v/>
      </c>
      <c r="D14" s="12">
        <f>IF($A14="","",B14/B13-1)</f>
        <v/>
      </c>
    </row>
    <row r="15">
      <c r="A15" s="6">
        <f>IF(11&lt;='Inputs'!$B$25,'Inputs'!$B$26+11,"")</f>
        <v/>
      </c>
      <c r="B15" s="11">
        <f>IF($A15="","",B14*(1+'Inputs'!$B$6))</f>
        <v/>
      </c>
      <c r="C15" s="6">
        <f>IF($A15="","","Editable formula projection")</f>
        <v/>
      </c>
      <c r="D15" s="12">
        <f>IF($A15="","",B15/B14-1)</f>
        <v/>
      </c>
    </row>
    <row r="16">
      <c r="A16" s="6">
        <f>IF(12&lt;='Inputs'!$B$25,'Inputs'!$B$26+12,"")</f>
        <v/>
      </c>
      <c r="B16" s="11">
        <f>IF($A16="","",B15*(1+'Inputs'!$B$6))</f>
        <v/>
      </c>
      <c r="C16" s="6">
        <f>IF($A16="","","Editable formula projection")</f>
        <v/>
      </c>
      <c r="D16" s="12">
        <f>IF($A16="","",B16/B15-1)</f>
        <v/>
      </c>
    </row>
    <row r="17">
      <c r="A17" s="6">
        <f>IF(13&lt;='Inputs'!$B$25,'Inputs'!$B$26+13,"")</f>
        <v/>
      </c>
      <c r="B17" s="11">
        <f>IF($A17="","",B16*(1+'Inputs'!$B$6))</f>
        <v/>
      </c>
      <c r="C17" s="6">
        <f>IF($A17="","","Editable formula projection")</f>
        <v/>
      </c>
      <c r="D17" s="12">
        <f>IF($A17="","",B17/B16-1)</f>
        <v/>
      </c>
    </row>
    <row r="18">
      <c r="A18" s="6">
        <f>IF(14&lt;='Inputs'!$B$25,'Inputs'!$B$26+14,"")</f>
        <v/>
      </c>
      <c r="B18" s="11">
        <f>IF($A18="","",B17*(1+'Inputs'!$B$6))</f>
        <v/>
      </c>
      <c r="C18" s="6">
        <f>IF($A18="","","Editable formula projection")</f>
        <v/>
      </c>
      <c r="D18" s="12">
        <f>IF($A18="","",B18/B17-1)</f>
        <v/>
      </c>
    </row>
    <row r="19">
      <c r="A19" s="6">
        <f>IF(15&lt;='Inputs'!$B$25,'Inputs'!$B$26+15,"")</f>
        <v/>
      </c>
      <c r="B19" s="11">
        <f>IF($A19="","",B18*(1+'Inputs'!$B$6))</f>
        <v/>
      </c>
      <c r="C19" s="6">
        <f>IF($A19="","","Editable formula projection")</f>
        <v/>
      </c>
      <c r="D19" s="12">
        <f>IF($A19="","",B19/B18-1)</f>
        <v/>
      </c>
    </row>
    <row r="20">
      <c r="A20" s="6">
        <f>IF(16&lt;='Inputs'!$B$25,'Inputs'!$B$26+16,"")</f>
        <v/>
      </c>
      <c r="B20" s="11">
        <f>IF($A20="","",B19*(1+'Inputs'!$B$6))</f>
        <v/>
      </c>
      <c r="C20" s="6">
        <f>IF($A20="","","Editable formula projection")</f>
        <v/>
      </c>
      <c r="D20" s="12">
        <f>IF($A20="","",B20/B19-1)</f>
        <v/>
      </c>
    </row>
    <row r="21">
      <c r="A21" s="6">
        <f>IF(17&lt;='Inputs'!$B$25,'Inputs'!$B$26+17,"")</f>
        <v/>
      </c>
      <c r="B21" s="11">
        <f>IF($A21="","",B20*(1+'Inputs'!$B$6))</f>
        <v/>
      </c>
      <c r="C21" s="6">
        <f>IF($A21="","","Editable formula projection")</f>
        <v/>
      </c>
      <c r="D21" s="12">
        <f>IF($A21="","",B21/B20-1)</f>
        <v/>
      </c>
    </row>
    <row r="22">
      <c r="A22" s="6">
        <f>IF(18&lt;='Inputs'!$B$25,'Inputs'!$B$26+18,"")</f>
        <v/>
      </c>
      <c r="B22" s="11">
        <f>IF($A22="","",B21*(1+'Inputs'!$B$6))</f>
        <v/>
      </c>
      <c r="C22" s="6">
        <f>IF($A22="","","Editable formula projection")</f>
        <v/>
      </c>
      <c r="D22" s="12">
        <f>IF($A22="","",B22/B21-1)</f>
        <v/>
      </c>
    </row>
    <row r="23">
      <c r="A23" s="6">
        <f>IF(19&lt;='Inputs'!$B$25,'Inputs'!$B$26+19,"")</f>
        <v/>
      </c>
      <c r="B23" s="11">
        <f>IF($A23="","",B22*(1+'Inputs'!$B$6))</f>
        <v/>
      </c>
      <c r="C23" s="6">
        <f>IF($A23="","","Editable formula projection")</f>
        <v/>
      </c>
      <c r="D23" s="12">
        <f>IF($A23="","",B23/B22-1)</f>
        <v/>
      </c>
    </row>
    <row r="24">
      <c r="A24" s="6">
        <f>IF(20&lt;='Inputs'!$B$25,'Inputs'!$B$26+20,"")</f>
        <v/>
      </c>
      <c r="B24" s="11">
        <f>IF($A24="","",B23*(1+'Inputs'!$B$6))</f>
        <v/>
      </c>
      <c r="C24" s="6">
        <f>IF($A24="","","Editable formula projection")</f>
        <v/>
      </c>
      <c r="D24" s="12">
        <f>IF($A24="","",B24/B23-1)</f>
        <v/>
      </c>
    </row>
    <row r="25">
      <c r="A25" s="6">
        <f>IF(21&lt;='Inputs'!$B$25,'Inputs'!$B$26+21,"")</f>
        <v/>
      </c>
      <c r="B25" s="11">
        <f>IF($A25="","",B24*(1+'Inputs'!$B$6))</f>
        <v/>
      </c>
      <c r="C25" s="6">
        <f>IF($A25="","","Editable formula projection")</f>
        <v/>
      </c>
      <c r="D25" s="12">
        <f>IF($A25="","",B25/B24-1)</f>
        <v/>
      </c>
    </row>
    <row r="26">
      <c r="A26" s="6">
        <f>IF(22&lt;='Inputs'!$B$25,'Inputs'!$B$26+22,"")</f>
        <v/>
      </c>
      <c r="B26" s="11">
        <f>IF($A26="","",B25*(1+'Inputs'!$B$6))</f>
        <v/>
      </c>
      <c r="C26" s="6">
        <f>IF($A26="","","Editable formula projection")</f>
        <v/>
      </c>
      <c r="D26" s="12">
        <f>IF($A26="","",B26/B25-1)</f>
        <v/>
      </c>
    </row>
    <row r="27">
      <c r="A27" s="6">
        <f>IF(23&lt;='Inputs'!$B$25,'Inputs'!$B$26+23,"")</f>
        <v/>
      </c>
      <c r="B27" s="11">
        <f>IF($A27="","",B26*(1+'Inputs'!$B$6))</f>
        <v/>
      </c>
      <c r="C27" s="6">
        <f>IF($A27="","","Editable formula projection")</f>
        <v/>
      </c>
      <c r="D27" s="12">
        <f>IF($A27="","",B27/B26-1)</f>
        <v/>
      </c>
    </row>
    <row r="28">
      <c r="A28" s="6">
        <f>IF(24&lt;='Inputs'!$B$25,'Inputs'!$B$26+24,"")</f>
        <v/>
      </c>
      <c r="B28" s="11">
        <f>IF($A28="","",B27*(1+'Inputs'!$B$6))</f>
        <v/>
      </c>
      <c r="C28" s="6">
        <f>IF($A28="","","Editable formula projection")</f>
        <v/>
      </c>
      <c r="D28" s="12">
        <f>IF($A28="","",B28/B27-1)</f>
        <v/>
      </c>
    </row>
    <row r="29">
      <c r="A29" s="6">
        <f>IF(25&lt;='Inputs'!$B$25,'Inputs'!$B$26+25,"")</f>
        <v/>
      </c>
      <c r="B29" s="11">
        <f>IF($A29="","",B28*(1+'Inputs'!$B$6))</f>
        <v/>
      </c>
      <c r="C29" s="6">
        <f>IF($A29="","","Editable formula projection")</f>
        <v/>
      </c>
      <c r="D29" s="12">
        <f>IF($A29="","",B29/B28-1)</f>
        <v/>
      </c>
    </row>
    <row r="30">
      <c r="A30" s="6">
        <f>IF(26&lt;='Inputs'!$B$25,'Inputs'!$B$26+26,"")</f>
        <v/>
      </c>
      <c r="B30" s="11">
        <f>IF($A30="","",B29*(1+'Inputs'!$B$6))</f>
        <v/>
      </c>
      <c r="C30" s="6">
        <f>IF($A30="","","Editable formula projection")</f>
        <v/>
      </c>
      <c r="D30" s="12">
        <f>IF($A30="","",B30/B29-1)</f>
        <v/>
      </c>
    </row>
    <row r="31">
      <c r="A31" s="6">
        <f>IF(27&lt;='Inputs'!$B$25,'Inputs'!$B$26+27,"")</f>
        <v/>
      </c>
      <c r="B31" s="11">
        <f>IF($A31="","",B30*(1+'Inputs'!$B$6))</f>
        <v/>
      </c>
      <c r="C31" s="6">
        <f>IF($A31="","","Editable formula projection")</f>
        <v/>
      </c>
      <c r="D31" s="12">
        <f>IF($A31="","",B31/B30-1)</f>
        <v/>
      </c>
    </row>
    <row r="32">
      <c r="A32" s="6">
        <f>IF(28&lt;='Inputs'!$B$25,'Inputs'!$B$26+28,"")</f>
        <v/>
      </c>
      <c r="B32" s="11">
        <f>IF($A32="","",B31*(1+'Inputs'!$B$6))</f>
        <v/>
      </c>
      <c r="C32" s="6">
        <f>IF($A32="","","Editable formula projection")</f>
        <v/>
      </c>
      <c r="D32" s="12">
        <f>IF($A32="","",B32/B31-1)</f>
        <v/>
      </c>
    </row>
    <row r="33">
      <c r="A33" s="6">
        <f>IF(29&lt;='Inputs'!$B$25,'Inputs'!$B$26+29,"")</f>
        <v/>
      </c>
      <c r="B33" s="11">
        <f>IF($A33="","",B32*(1+'Inputs'!$B$6))</f>
        <v/>
      </c>
      <c r="C33" s="6">
        <f>IF($A33="","","Editable formula projection")</f>
        <v/>
      </c>
      <c r="D33" s="12">
        <f>IF($A33="","",B33/B32-1)</f>
        <v/>
      </c>
    </row>
    <row r="34">
      <c r="A34" s="6">
        <f>IF(30&lt;='Inputs'!$B$25,'Inputs'!$B$26+30,"")</f>
        <v/>
      </c>
      <c r="B34" s="11">
        <f>IF($A34="","",B33*(1+'Inputs'!$B$6))</f>
        <v/>
      </c>
      <c r="C34" s="6">
        <f>IF($A34="","","Editable formula projection")</f>
        <v/>
      </c>
      <c r="D34" s="12">
        <f>IF($A34="","",B34/B33-1)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1" customWidth="1" min="4" max="4"/>
    <col width="28" customWidth="1" min="5" max="5"/>
    <col width="28" customWidth="1" min="6" max="6"/>
    <col width="28" customWidth="1" min="7" max="7"/>
    <col width="28" customWidth="1" min="8" max="8"/>
    <col width="25" customWidth="1" min="9" max="9"/>
    <col width="25" customWidth="1" min="10" max="10"/>
    <col width="25" customWidth="1" min="11" max="11"/>
    <col width="21" customWidth="1" min="12" max="12"/>
    <col width="25" customWidth="1" min="13" max="13"/>
    <col width="25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</cols>
  <sheetData>
    <row r="1">
      <c r="A1" s="1" t="inlineStr">
        <is>
          <t>Accumulation Engine — Recursive BTC Leverage</t>
        </is>
      </c>
    </row>
    <row r="2"/>
    <row r="3">
      <c r="A3" s="2" t="inlineStr">
        <is>
          <t>Year</t>
        </is>
      </c>
      <c r="B3" s="2" t="inlineStr">
        <is>
          <t>BTC Price</t>
        </is>
      </c>
      <c r="C3" s="2" t="inlineStr">
        <is>
          <t>Starting Collateral BTC</t>
        </is>
      </c>
      <c r="D3" s="2" t="inlineStr">
        <is>
          <t>Starting Debt</t>
        </is>
      </c>
      <c r="E3" s="2" t="inlineStr">
        <is>
          <t>Interest Accrued</t>
        </is>
      </c>
      <c r="F3" s="2" t="inlineStr">
        <is>
          <t>Debt After Interest</t>
        </is>
      </c>
      <c r="G3" s="2" t="inlineStr">
        <is>
          <t>Pre-Action LTV</t>
        </is>
      </c>
      <c r="H3" s="2" t="inlineStr">
        <is>
          <t>New Borrowing</t>
        </is>
      </c>
      <c r="I3" s="2" t="inlineStr">
        <is>
          <t>BTC Bought</t>
        </is>
      </c>
      <c r="J3" s="2" t="inlineStr">
        <is>
          <t>Ending Collateral BTC</t>
        </is>
      </c>
      <c r="K3" s="2" t="inlineStr">
        <is>
          <t>Ending Debt</t>
        </is>
      </c>
      <c r="L3" s="2" t="inlineStr">
        <is>
          <t>Gross BTC Held</t>
        </is>
      </c>
      <c r="M3" s="2" t="inlineStr">
        <is>
          <t>Debt BTC Equivalent</t>
        </is>
      </c>
      <c r="N3" s="2" t="inlineStr">
        <is>
          <t>Net BTC After Debt</t>
        </is>
      </c>
      <c r="O3" s="2" t="inlineStr">
        <is>
          <t>Extra BTC vs Passive</t>
        </is>
      </c>
      <c r="P3" s="2" t="inlineStr">
        <is>
          <t>Net Equity USD</t>
        </is>
      </c>
      <c r="Q3" s="2" t="inlineStr">
        <is>
          <t>Effective LTV End</t>
        </is>
      </c>
      <c r="R3" s="2" t="inlineStr">
        <is>
          <t>Leverage Multiple</t>
        </is>
      </c>
      <c r="S3" s="2" t="inlineStr">
        <is>
          <t>Margin-Call Price</t>
        </is>
      </c>
      <c r="T3" s="2" t="inlineStr">
        <is>
          <t>Liquidation Price</t>
        </is>
      </c>
      <c r="U3" s="2" t="inlineStr">
        <is>
          <t>Drop to Liquidation</t>
        </is>
      </c>
      <c r="V3" s="2" t="inlineStr">
        <is>
          <t>Risk Status</t>
        </is>
      </c>
    </row>
    <row r="4">
      <c r="A4" s="6">
        <f>'Price Projection'!A4</f>
        <v/>
      </c>
      <c r="B4" s="11">
        <f>IF($A4="","",'Price Projection'!B4)</f>
        <v/>
      </c>
      <c r="C4" s="13">
        <f>IF($A4="","",'Inputs'!$B$7)</f>
        <v/>
      </c>
      <c r="D4" s="11">
        <f>IF($A4="","",0)</f>
        <v/>
      </c>
      <c r="E4" s="11">
        <f>IF($A4="","",0)</f>
        <v/>
      </c>
      <c r="F4" s="11">
        <f>IF($A4="","",D4+E4)</f>
        <v/>
      </c>
      <c r="G4" s="12">
        <f>IF($A4="","",IF(C4*B4=0,0,F4/(C4*B4)))</f>
        <v/>
      </c>
      <c r="H4" s="11">
        <f>IF($A4="","",MAX(0,(MIN('Inputs'!$B$14,'Inputs'!$B$15,'Inputs'!$B$11*(1-'Inputs'!$B$12))*C4*B4-F4)/(1-MIN('Inputs'!$B$14,'Inputs'!$B$15,'Inputs'!$B$11*(1-'Inputs'!$B$12)))))</f>
        <v/>
      </c>
      <c r="I4" s="13">
        <f>IF($A4="","",H4/B4)</f>
        <v/>
      </c>
      <c r="J4" s="13">
        <f>IF($A4="","",C4+I4)</f>
        <v/>
      </c>
      <c r="K4" s="11">
        <f>IF($A4="","",F4+H4)</f>
        <v/>
      </c>
      <c r="L4" s="13">
        <f>IF($A4="","",J4)</f>
        <v/>
      </c>
      <c r="M4" s="13">
        <f>IF($A4="","",K4/B4)</f>
        <v/>
      </c>
      <c r="N4" s="13">
        <f>IF($A4="","",L4-M4)</f>
        <v/>
      </c>
      <c r="O4" s="13">
        <f>IF($A4="","",L4-'Inputs'!$B$7)</f>
        <v/>
      </c>
      <c r="P4" s="11">
        <f>IF($A4="","",L4*B4-K4)</f>
        <v/>
      </c>
      <c r="Q4" s="12">
        <f>IF($A4="","",IF(J4*B4=0,0,K4/(J4*B4)))</f>
        <v/>
      </c>
      <c r="R4" s="6">
        <f>IF($A4="","",L4/'Inputs'!$B$7)</f>
        <v/>
      </c>
      <c r="S4" s="11">
        <f>IF($A4="","",IF(K4=0,0,K4/(J4*'Inputs'!$B$10)))</f>
        <v/>
      </c>
      <c r="T4" s="11">
        <f>IF($A4="","",IF(K4=0,0,K4/(J4*'Inputs'!$B$11)))</f>
        <v/>
      </c>
      <c r="U4" s="12">
        <f>IF($A4="","",IF(T4&lt;=0,0,1-T4/B4))</f>
        <v/>
      </c>
      <c r="V4" s="6">
        <f>IF($A4="","",IF(Q4=0,"SAFE",IF(Q4&gt;='Inputs'!$B$11,"LIQUIDATED",IF(Q4&gt;='Inputs'!$B$10,"MARGIN CALL",IF(OR(Q4&gt;='Inputs'!$B$23,U4&lt;'Inputs'!$B$12),"WARNING","SAFE")))))</f>
        <v/>
      </c>
    </row>
    <row r="5">
      <c r="A5" s="6">
        <f>'Price Projection'!A5</f>
        <v/>
      </c>
      <c r="B5" s="11">
        <f>IF($A5="","",'Price Projection'!B5)</f>
        <v/>
      </c>
      <c r="C5" s="13">
        <f>IF($A5="","",J4)</f>
        <v/>
      </c>
      <c r="D5" s="11">
        <f>IF($A5="","",K4)</f>
        <v/>
      </c>
      <c r="E5" s="11">
        <f>IF($A5="","",D5*'Inputs'!$B$8)</f>
        <v/>
      </c>
      <c r="F5" s="11">
        <f>IF($A5="","",IF('Inputs'!$B$9="capitalized",D5+E5,D5))</f>
        <v/>
      </c>
      <c r="G5" s="12">
        <f>IF($A5="","",IF(C5*B5=0,0,F5/(C5*B5)))</f>
        <v/>
      </c>
      <c r="H5" s="11">
        <f>IF($A5="","",IF(G5&gt;='Inputs'!$B$10,0,MAX(0,(MIN('Inputs'!$B$14,'Inputs'!$B$15,'Inputs'!$B$11*(1-'Inputs'!$B$12))*C5*B5-F5)/(1-MIN('Inputs'!$B$14,'Inputs'!$B$15,'Inputs'!$B$11*(1-'Inputs'!$B$12))))))</f>
        <v/>
      </c>
      <c r="I5" s="13">
        <f>IF($A5="","",H5/B5)</f>
        <v/>
      </c>
      <c r="J5" s="13">
        <f>IF($A5="","",C5+I5)</f>
        <v/>
      </c>
      <c r="K5" s="11">
        <f>IF($A5="","",F5+H5)</f>
        <v/>
      </c>
      <c r="L5" s="13">
        <f>IF($A5="","",J5)</f>
        <v/>
      </c>
      <c r="M5" s="13">
        <f>IF($A5="","",K5/B5)</f>
        <v/>
      </c>
      <c r="N5" s="13">
        <f>IF($A5="","",L5-M5)</f>
        <v/>
      </c>
      <c r="O5" s="13">
        <f>IF($A5="","",L5-'Inputs'!$B$7)</f>
        <v/>
      </c>
      <c r="P5" s="11">
        <f>IF($A5="","",L5*B5-K5)</f>
        <v/>
      </c>
      <c r="Q5" s="12">
        <f>IF($A5="","",IF(J5*B5=0,0,K5/(J5*B5)))</f>
        <v/>
      </c>
      <c r="R5" s="6">
        <f>IF($A5="","",L5/'Inputs'!$B$7)</f>
        <v/>
      </c>
      <c r="S5" s="11">
        <f>IF($A5="","",IF(K5=0,0,K5/(J5*'Inputs'!$B$10)))</f>
        <v/>
      </c>
      <c r="T5" s="11">
        <f>IF($A5="","",IF(K5=0,0,K5/(J5*'Inputs'!$B$11)))</f>
        <v/>
      </c>
      <c r="U5" s="12">
        <f>IF($A5="","",IF(T5&lt;=0,0,1-T5/B5))</f>
        <v/>
      </c>
      <c r="V5" s="6">
        <f>IF($A5="","",IF(Q5=0,"SAFE",IF(Q5&gt;='Inputs'!$B$11,"LIQUIDATED",IF(Q5&gt;='Inputs'!$B$10,"MARGIN CALL",IF(OR(Q5&gt;='Inputs'!$B$23,U5&lt;'Inputs'!$B$12),"WARNING","SAFE")))))</f>
        <v/>
      </c>
    </row>
    <row r="6">
      <c r="A6" s="6">
        <f>'Price Projection'!A6</f>
        <v/>
      </c>
      <c r="B6" s="11">
        <f>IF($A6="","",'Price Projection'!B6)</f>
        <v/>
      </c>
      <c r="C6" s="13">
        <f>IF($A6="","",J5)</f>
        <v/>
      </c>
      <c r="D6" s="11">
        <f>IF($A6="","",K5)</f>
        <v/>
      </c>
      <c r="E6" s="11">
        <f>IF($A6="","",D6*'Inputs'!$B$8)</f>
        <v/>
      </c>
      <c r="F6" s="11">
        <f>IF($A6="","",IF('Inputs'!$B$9="capitalized",D6+E6,D6))</f>
        <v/>
      </c>
      <c r="G6" s="12">
        <f>IF($A6="","",IF(C6*B6=0,0,F6/(C6*B6)))</f>
        <v/>
      </c>
      <c r="H6" s="11">
        <f>IF($A6="","",IF(G6&gt;='Inputs'!$B$10,0,MAX(0,(MIN('Inputs'!$B$14,'Inputs'!$B$15,'Inputs'!$B$11*(1-'Inputs'!$B$12))*C6*B6-F6)/(1-MIN('Inputs'!$B$14,'Inputs'!$B$15,'Inputs'!$B$11*(1-'Inputs'!$B$12))))))</f>
        <v/>
      </c>
      <c r="I6" s="13">
        <f>IF($A6="","",H6/B6)</f>
        <v/>
      </c>
      <c r="J6" s="13">
        <f>IF($A6="","",C6+I6)</f>
        <v/>
      </c>
      <c r="K6" s="11">
        <f>IF($A6="","",F6+H6)</f>
        <v/>
      </c>
      <c r="L6" s="13">
        <f>IF($A6="","",J6)</f>
        <v/>
      </c>
      <c r="M6" s="13">
        <f>IF($A6="","",K6/B6)</f>
        <v/>
      </c>
      <c r="N6" s="13">
        <f>IF($A6="","",L6-M6)</f>
        <v/>
      </c>
      <c r="O6" s="13">
        <f>IF($A6="","",L6-'Inputs'!$B$7)</f>
        <v/>
      </c>
      <c r="P6" s="11">
        <f>IF($A6="","",L6*B6-K6)</f>
        <v/>
      </c>
      <c r="Q6" s="12">
        <f>IF($A6="","",IF(J6*B6=0,0,K6/(J6*B6)))</f>
        <v/>
      </c>
      <c r="R6" s="6">
        <f>IF($A6="","",L6/'Inputs'!$B$7)</f>
        <v/>
      </c>
      <c r="S6" s="11">
        <f>IF($A6="","",IF(K6=0,0,K6/(J6*'Inputs'!$B$10)))</f>
        <v/>
      </c>
      <c r="T6" s="11">
        <f>IF($A6="","",IF(K6=0,0,K6/(J6*'Inputs'!$B$11)))</f>
        <v/>
      </c>
      <c r="U6" s="12">
        <f>IF($A6="","",IF(T6&lt;=0,0,1-T6/B6))</f>
        <v/>
      </c>
      <c r="V6" s="6">
        <f>IF($A6="","",IF(Q6=0,"SAFE",IF(Q6&gt;='Inputs'!$B$11,"LIQUIDATED",IF(Q6&gt;='Inputs'!$B$10,"MARGIN CALL",IF(OR(Q6&gt;='Inputs'!$B$23,U6&lt;'Inputs'!$B$12),"WARNING","SAFE")))))</f>
        <v/>
      </c>
    </row>
    <row r="7">
      <c r="A7" s="6">
        <f>'Price Projection'!A7</f>
        <v/>
      </c>
      <c r="B7" s="11">
        <f>IF($A7="","",'Price Projection'!B7)</f>
        <v/>
      </c>
      <c r="C7" s="13">
        <f>IF($A7="","",J6)</f>
        <v/>
      </c>
      <c r="D7" s="11">
        <f>IF($A7="","",K6)</f>
        <v/>
      </c>
      <c r="E7" s="11">
        <f>IF($A7="","",D7*'Inputs'!$B$8)</f>
        <v/>
      </c>
      <c r="F7" s="11">
        <f>IF($A7="","",IF('Inputs'!$B$9="capitalized",D7+E7,D7))</f>
        <v/>
      </c>
      <c r="G7" s="12">
        <f>IF($A7="","",IF(C7*B7=0,0,F7/(C7*B7)))</f>
        <v/>
      </c>
      <c r="H7" s="11">
        <f>IF($A7="","",IF(G7&gt;='Inputs'!$B$10,0,MAX(0,(MIN('Inputs'!$B$14,'Inputs'!$B$15,'Inputs'!$B$11*(1-'Inputs'!$B$12))*C7*B7-F7)/(1-MIN('Inputs'!$B$14,'Inputs'!$B$15,'Inputs'!$B$11*(1-'Inputs'!$B$12))))))</f>
        <v/>
      </c>
      <c r="I7" s="13">
        <f>IF($A7="","",H7/B7)</f>
        <v/>
      </c>
      <c r="J7" s="13">
        <f>IF($A7="","",C7+I7)</f>
        <v/>
      </c>
      <c r="K7" s="11">
        <f>IF($A7="","",F7+H7)</f>
        <v/>
      </c>
      <c r="L7" s="13">
        <f>IF($A7="","",J7)</f>
        <v/>
      </c>
      <c r="M7" s="13">
        <f>IF($A7="","",K7/B7)</f>
        <v/>
      </c>
      <c r="N7" s="13">
        <f>IF($A7="","",L7-M7)</f>
        <v/>
      </c>
      <c r="O7" s="13">
        <f>IF($A7="","",L7-'Inputs'!$B$7)</f>
        <v/>
      </c>
      <c r="P7" s="11">
        <f>IF($A7="","",L7*B7-K7)</f>
        <v/>
      </c>
      <c r="Q7" s="12">
        <f>IF($A7="","",IF(J7*B7=0,0,K7/(J7*B7)))</f>
        <v/>
      </c>
      <c r="R7" s="6">
        <f>IF($A7="","",L7/'Inputs'!$B$7)</f>
        <v/>
      </c>
      <c r="S7" s="11">
        <f>IF($A7="","",IF(K7=0,0,K7/(J7*'Inputs'!$B$10)))</f>
        <v/>
      </c>
      <c r="T7" s="11">
        <f>IF($A7="","",IF(K7=0,0,K7/(J7*'Inputs'!$B$11)))</f>
        <v/>
      </c>
      <c r="U7" s="12">
        <f>IF($A7="","",IF(T7&lt;=0,0,1-T7/B7))</f>
        <v/>
      </c>
      <c r="V7" s="6">
        <f>IF($A7="","",IF(Q7=0,"SAFE",IF(Q7&gt;='Inputs'!$B$11,"LIQUIDATED",IF(Q7&gt;='Inputs'!$B$10,"MARGIN CALL",IF(OR(Q7&gt;='Inputs'!$B$23,U7&lt;'Inputs'!$B$12),"WARNING","SAFE")))))</f>
        <v/>
      </c>
    </row>
    <row r="8">
      <c r="A8" s="6">
        <f>'Price Projection'!A8</f>
        <v/>
      </c>
      <c r="B8" s="11">
        <f>IF($A8="","",'Price Projection'!B8)</f>
        <v/>
      </c>
      <c r="C8" s="13">
        <f>IF($A8="","",J7)</f>
        <v/>
      </c>
      <c r="D8" s="11">
        <f>IF($A8="","",K7)</f>
        <v/>
      </c>
      <c r="E8" s="11">
        <f>IF($A8="","",D8*'Inputs'!$B$8)</f>
        <v/>
      </c>
      <c r="F8" s="11">
        <f>IF($A8="","",IF('Inputs'!$B$9="capitalized",D8+E8,D8))</f>
        <v/>
      </c>
      <c r="G8" s="12">
        <f>IF($A8="","",IF(C8*B8=0,0,F8/(C8*B8)))</f>
        <v/>
      </c>
      <c r="H8" s="11">
        <f>IF($A8="","",IF(G8&gt;='Inputs'!$B$10,0,MAX(0,(MIN('Inputs'!$B$14,'Inputs'!$B$15,'Inputs'!$B$11*(1-'Inputs'!$B$12))*C8*B8-F8)/(1-MIN('Inputs'!$B$14,'Inputs'!$B$15,'Inputs'!$B$11*(1-'Inputs'!$B$12))))))</f>
        <v/>
      </c>
      <c r="I8" s="13">
        <f>IF($A8="","",H8/B8)</f>
        <v/>
      </c>
      <c r="J8" s="13">
        <f>IF($A8="","",C8+I8)</f>
        <v/>
      </c>
      <c r="K8" s="11">
        <f>IF($A8="","",F8+H8)</f>
        <v/>
      </c>
      <c r="L8" s="13">
        <f>IF($A8="","",J8)</f>
        <v/>
      </c>
      <c r="M8" s="13">
        <f>IF($A8="","",K8/B8)</f>
        <v/>
      </c>
      <c r="N8" s="13">
        <f>IF($A8="","",L8-M8)</f>
        <v/>
      </c>
      <c r="O8" s="13">
        <f>IF($A8="","",L8-'Inputs'!$B$7)</f>
        <v/>
      </c>
      <c r="P8" s="11">
        <f>IF($A8="","",L8*B8-K8)</f>
        <v/>
      </c>
      <c r="Q8" s="12">
        <f>IF($A8="","",IF(J8*B8=0,0,K8/(J8*B8)))</f>
        <v/>
      </c>
      <c r="R8" s="6">
        <f>IF($A8="","",L8/'Inputs'!$B$7)</f>
        <v/>
      </c>
      <c r="S8" s="11">
        <f>IF($A8="","",IF(K8=0,0,K8/(J8*'Inputs'!$B$10)))</f>
        <v/>
      </c>
      <c r="T8" s="11">
        <f>IF($A8="","",IF(K8=0,0,K8/(J8*'Inputs'!$B$11)))</f>
        <v/>
      </c>
      <c r="U8" s="12">
        <f>IF($A8="","",IF(T8&lt;=0,0,1-T8/B8))</f>
        <v/>
      </c>
      <c r="V8" s="6">
        <f>IF($A8="","",IF(Q8=0,"SAFE",IF(Q8&gt;='Inputs'!$B$11,"LIQUIDATED",IF(Q8&gt;='Inputs'!$B$10,"MARGIN CALL",IF(OR(Q8&gt;='Inputs'!$B$23,U8&lt;'Inputs'!$B$12),"WARNING","SAFE")))))</f>
        <v/>
      </c>
    </row>
    <row r="9">
      <c r="A9" s="6">
        <f>'Price Projection'!A9</f>
        <v/>
      </c>
      <c r="B9" s="11">
        <f>IF($A9="","",'Price Projection'!B9)</f>
        <v/>
      </c>
      <c r="C9" s="13">
        <f>IF($A9="","",J8)</f>
        <v/>
      </c>
      <c r="D9" s="11">
        <f>IF($A9="","",K8)</f>
        <v/>
      </c>
      <c r="E9" s="11">
        <f>IF($A9="","",D9*'Inputs'!$B$8)</f>
        <v/>
      </c>
      <c r="F9" s="11">
        <f>IF($A9="","",IF('Inputs'!$B$9="capitalized",D9+E9,D9))</f>
        <v/>
      </c>
      <c r="G9" s="12">
        <f>IF($A9="","",IF(C9*B9=0,0,F9/(C9*B9)))</f>
        <v/>
      </c>
      <c r="H9" s="11">
        <f>IF($A9="","",IF(G9&gt;='Inputs'!$B$10,0,MAX(0,(MIN('Inputs'!$B$14,'Inputs'!$B$15,'Inputs'!$B$11*(1-'Inputs'!$B$12))*C9*B9-F9)/(1-MIN('Inputs'!$B$14,'Inputs'!$B$15,'Inputs'!$B$11*(1-'Inputs'!$B$12))))))</f>
        <v/>
      </c>
      <c r="I9" s="13">
        <f>IF($A9="","",H9/B9)</f>
        <v/>
      </c>
      <c r="J9" s="13">
        <f>IF($A9="","",C9+I9)</f>
        <v/>
      </c>
      <c r="K9" s="11">
        <f>IF($A9="","",F9+H9)</f>
        <v/>
      </c>
      <c r="L9" s="13">
        <f>IF($A9="","",J9)</f>
        <v/>
      </c>
      <c r="M9" s="13">
        <f>IF($A9="","",K9/B9)</f>
        <v/>
      </c>
      <c r="N9" s="13">
        <f>IF($A9="","",L9-M9)</f>
        <v/>
      </c>
      <c r="O9" s="13">
        <f>IF($A9="","",L9-'Inputs'!$B$7)</f>
        <v/>
      </c>
      <c r="P9" s="11">
        <f>IF($A9="","",L9*B9-K9)</f>
        <v/>
      </c>
      <c r="Q9" s="12">
        <f>IF($A9="","",IF(J9*B9=0,0,K9/(J9*B9)))</f>
        <v/>
      </c>
      <c r="R9" s="6">
        <f>IF($A9="","",L9/'Inputs'!$B$7)</f>
        <v/>
      </c>
      <c r="S9" s="11">
        <f>IF($A9="","",IF(K9=0,0,K9/(J9*'Inputs'!$B$10)))</f>
        <v/>
      </c>
      <c r="T9" s="11">
        <f>IF($A9="","",IF(K9=0,0,K9/(J9*'Inputs'!$B$11)))</f>
        <v/>
      </c>
      <c r="U9" s="12">
        <f>IF($A9="","",IF(T9&lt;=0,0,1-T9/B9))</f>
        <v/>
      </c>
      <c r="V9" s="6">
        <f>IF($A9="","",IF(Q9=0,"SAFE",IF(Q9&gt;='Inputs'!$B$11,"LIQUIDATED",IF(Q9&gt;='Inputs'!$B$10,"MARGIN CALL",IF(OR(Q9&gt;='Inputs'!$B$23,U9&lt;'Inputs'!$B$12),"WARNING","SAFE")))))</f>
        <v/>
      </c>
    </row>
    <row r="10">
      <c r="A10" s="6">
        <f>'Price Projection'!A10</f>
        <v/>
      </c>
      <c r="B10" s="11">
        <f>IF($A10="","",'Price Projection'!B10)</f>
        <v/>
      </c>
      <c r="C10" s="13">
        <f>IF($A10="","",J9)</f>
        <v/>
      </c>
      <c r="D10" s="11">
        <f>IF($A10="","",K9)</f>
        <v/>
      </c>
      <c r="E10" s="11">
        <f>IF($A10="","",D10*'Inputs'!$B$8)</f>
        <v/>
      </c>
      <c r="F10" s="11">
        <f>IF($A10="","",IF('Inputs'!$B$9="capitalized",D10+E10,D10))</f>
        <v/>
      </c>
      <c r="G10" s="12">
        <f>IF($A10="","",IF(C10*B10=0,0,F10/(C10*B10)))</f>
        <v/>
      </c>
      <c r="H10" s="11">
        <f>IF($A10="","",IF(G10&gt;='Inputs'!$B$10,0,MAX(0,(MIN('Inputs'!$B$14,'Inputs'!$B$15,'Inputs'!$B$11*(1-'Inputs'!$B$12))*C10*B10-F10)/(1-MIN('Inputs'!$B$14,'Inputs'!$B$15,'Inputs'!$B$11*(1-'Inputs'!$B$12))))))</f>
        <v/>
      </c>
      <c r="I10" s="13">
        <f>IF($A10="","",H10/B10)</f>
        <v/>
      </c>
      <c r="J10" s="13">
        <f>IF($A10="","",C10+I10)</f>
        <v/>
      </c>
      <c r="K10" s="11">
        <f>IF($A10="","",F10+H10)</f>
        <v/>
      </c>
      <c r="L10" s="13">
        <f>IF($A10="","",J10)</f>
        <v/>
      </c>
      <c r="M10" s="13">
        <f>IF($A10="","",K10/B10)</f>
        <v/>
      </c>
      <c r="N10" s="13">
        <f>IF($A10="","",L10-M10)</f>
        <v/>
      </c>
      <c r="O10" s="13">
        <f>IF($A10="","",L10-'Inputs'!$B$7)</f>
        <v/>
      </c>
      <c r="P10" s="11">
        <f>IF($A10="","",L10*B10-K10)</f>
        <v/>
      </c>
      <c r="Q10" s="12">
        <f>IF($A10="","",IF(J10*B10=0,0,K10/(J10*B10)))</f>
        <v/>
      </c>
      <c r="R10" s="6">
        <f>IF($A10="","",L10/'Inputs'!$B$7)</f>
        <v/>
      </c>
      <c r="S10" s="11">
        <f>IF($A10="","",IF(K10=0,0,K10/(J10*'Inputs'!$B$10)))</f>
        <v/>
      </c>
      <c r="T10" s="11">
        <f>IF($A10="","",IF(K10=0,0,K10/(J10*'Inputs'!$B$11)))</f>
        <v/>
      </c>
      <c r="U10" s="12">
        <f>IF($A10="","",IF(T10&lt;=0,0,1-T10/B10))</f>
        <v/>
      </c>
      <c r="V10" s="6">
        <f>IF($A10="","",IF(Q10=0,"SAFE",IF(Q10&gt;='Inputs'!$B$11,"LIQUIDATED",IF(Q10&gt;='Inputs'!$B$10,"MARGIN CALL",IF(OR(Q10&gt;='Inputs'!$B$23,U10&lt;'Inputs'!$B$12),"WARNING","SAFE")))))</f>
        <v/>
      </c>
    </row>
    <row r="11">
      <c r="A11" s="6">
        <f>'Price Projection'!A11</f>
        <v/>
      </c>
      <c r="B11" s="11">
        <f>IF($A11="","",'Price Projection'!B11)</f>
        <v/>
      </c>
      <c r="C11" s="13">
        <f>IF($A11="","",J10)</f>
        <v/>
      </c>
      <c r="D11" s="11">
        <f>IF($A11="","",K10)</f>
        <v/>
      </c>
      <c r="E11" s="11">
        <f>IF($A11="","",D11*'Inputs'!$B$8)</f>
        <v/>
      </c>
      <c r="F11" s="11">
        <f>IF($A11="","",IF('Inputs'!$B$9="capitalized",D11+E11,D11))</f>
        <v/>
      </c>
      <c r="G11" s="12">
        <f>IF($A11="","",IF(C11*B11=0,0,F11/(C11*B11)))</f>
        <v/>
      </c>
      <c r="H11" s="11">
        <f>IF($A11="","",IF(G11&gt;='Inputs'!$B$10,0,MAX(0,(MIN('Inputs'!$B$14,'Inputs'!$B$15,'Inputs'!$B$11*(1-'Inputs'!$B$12))*C11*B11-F11)/(1-MIN('Inputs'!$B$14,'Inputs'!$B$15,'Inputs'!$B$11*(1-'Inputs'!$B$12))))))</f>
        <v/>
      </c>
      <c r="I11" s="13">
        <f>IF($A11="","",H11/B11)</f>
        <v/>
      </c>
      <c r="J11" s="13">
        <f>IF($A11="","",C11+I11)</f>
        <v/>
      </c>
      <c r="K11" s="11">
        <f>IF($A11="","",F11+H11)</f>
        <v/>
      </c>
      <c r="L11" s="13">
        <f>IF($A11="","",J11)</f>
        <v/>
      </c>
      <c r="M11" s="13">
        <f>IF($A11="","",K11/B11)</f>
        <v/>
      </c>
      <c r="N11" s="13">
        <f>IF($A11="","",L11-M11)</f>
        <v/>
      </c>
      <c r="O11" s="13">
        <f>IF($A11="","",L11-'Inputs'!$B$7)</f>
        <v/>
      </c>
      <c r="P11" s="11">
        <f>IF($A11="","",L11*B11-K11)</f>
        <v/>
      </c>
      <c r="Q11" s="12">
        <f>IF($A11="","",IF(J11*B11=0,0,K11/(J11*B11)))</f>
        <v/>
      </c>
      <c r="R11" s="6">
        <f>IF($A11="","",L11/'Inputs'!$B$7)</f>
        <v/>
      </c>
      <c r="S11" s="11">
        <f>IF($A11="","",IF(K11=0,0,K11/(J11*'Inputs'!$B$10)))</f>
        <v/>
      </c>
      <c r="T11" s="11">
        <f>IF($A11="","",IF(K11=0,0,K11/(J11*'Inputs'!$B$11)))</f>
        <v/>
      </c>
      <c r="U11" s="12">
        <f>IF($A11="","",IF(T11&lt;=0,0,1-T11/B11))</f>
        <v/>
      </c>
      <c r="V11" s="6">
        <f>IF($A11="","",IF(Q11=0,"SAFE",IF(Q11&gt;='Inputs'!$B$11,"LIQUIDATED",IF(Q11&gt;='Inputs'!$B$10,"MARGIN CALL",IF(OR(Q11&gt;='Inputs'!$B$23,U11&lt;'Inputs'!$B$12),"WARNING","SAFE")))))</f>
        <v/>
      </c>
    </row>
    <row r="12">
      <c r="A12" s="6">
        <f>'Price Projection'!A12</f>
        <v/>
      </c>
      <c r="B12" s="11">
        <f>IF($A12="","",'Price Projection'!B12)</f>
        <v/>
      </c>
      <c r="C12" s="13">
        <f>IF($A12="","",J11)</f>
        <v/>
      </c>
      <c r="D12" s="11">
        <f>IF($A12="","",K11)</f>
        <v/>
      </c>
      <c r="E12" s="11">
        <f>IF($A12="","",D12*'Inputs'!$B$8)</f>
        <v/>
      </c>
      <c r="F12" s="11">
        <f>IF($A12="","",IF('Inputs'!$B$9="capitalized",D12+E12,D12))</f>
        <v/>
      </c>
      <c r="G12" s="12">
        <f>IF($A12="","",IF(C12*B12=0,0,F12/(C12*B12)))</f>
        <v/>
      </c>
      <c r="H12" s="11">
        <f>IF($A12="","",IF(G12&gt;='Inputs'!$B$10,0,MAX(0,(MIN('Inputs'!$B$14,'Inputs'!$B$15,'Inputs'!$B$11*(1-'Inputs'!$B$12))*C12*B12-F12)/(1-MIN('Inputs'!$B$14,'Inputs'!$B$15,'Inputs'!$B$11*(1-'Inputs'!$B$12))))))</f>
        <v/>
      </c>
      <c r="I12" s="13">
        <f>IF($A12="","",H12/B12)</f>
        <v/>
      </c>
      <c r="J12" s="13">
        <f>IF($A12="","",C12+I12)</f>
        <v/>
      </c>
      <c r="K12" s="11">
        <f>IF($A12="","",F12+H12)</f>
        <v/>
      </c>
      <c r="L12" s="13">
        <f>IF($A12="","",J12)</f>
        <v/>
      </c>
      <c r="M12" s="13">
        <f>IF($A12="","",K12/B12)</f>
        <v/>
      </c>
      <c r="N12" s="13">
        <f>IF($A12="","",L12-M12)</f>
        <v/>
      </c>
      <c r="O12" s="13">
        <f>IF($A12="","",L12-'Inputs'!$B$7)</f>
        <v/>
      </c>
      <c r="P12" s="11">
        <f>IF($A12="","",L12*B12-K12)</f>
        <v/>
      </c>
      <c r="Q12" s="12">
        <f>IF($A12="","",IF(J12*B12=0,0,K12/(J12*B12)))</f>
        <v/>
      </c>
      <c r="R12" s="6">
        <f>IF($A12="","",L12/'Inputs'!$B$7)</f>
        <v/>
      </c>
      <c r="S12" s="11">
        <f>IF($A12="","",IF(K12=0,0,K12/(J12*'Inputs'!$B$10)))</f>
        <v/>
      </c>
      <c r="T12" s="11">
        <f>IF($A12="","",IF(K12=0,0,K12/(J12*'Inputs'!$B$11)))</f>
        <v/>
      </c>
      <c r="U12" s="12">
        <f>IF($A12="","",IF(T12&lt;=0,0,1-T12/B12))</f>
        <v/>
      </c>
      <c r="V12" s="6">
        <f>IF($A12="","",IF(Q12=0,"SAFE",IF(Q12&gt;='Inputs'!$B$11,"LIQUIDATED",IF(Q12&gt;='Inputs'!$B$10,"MARGIN CALL",IF(OR(Q12&gt;='Inputs'!$B$23,U12&lt;'Inputs'!$B$12),"WARNING","SAFE")))))</f>
        <v/>
      </c>
    </row>
    <row r="13">
      <c r="A13" s="6">
        <f>'Price Projection'!A13</f>
        <v/>
      </c>
      <c r="B13" s="11">
        <f>IF($A13="","",'Price Projection'!B13)</f>
        <v/>
      </c>
      <c r="C13" s="13">
        <f>IF($A13="","",J12)</f>
        <v/>
      </c>
      <c r="D13" s="11">
        <f>IF($A13="","",K12)</f>
        <v/>
      </c>
      <c r="E13" s="11">
        <f>IF($A13="","",D13*'Inputs'!$B$8)</f>
        <v/>
      </c>
      <c r="F13" s="11">
        <f>IF($A13="","",IF('Inputs'!$B$9="capitalized",D13+E13,D13))</f>
        <v/>
      </c>
      <c r="G13" s="12">
        <f>IF($A13="","",IF(C13*B13=0,0,F13/(C13*B13)))</f>
        <v/>
      </c>
      <c r="H13" s="11">
        <f>IF($A13="","",IF(G13&gt;='Inputs'!$B$10,0,MAX(0,(MIN('Inputs'!$B$14,'Inputs'!$B$15,'Inputs'!$B$11*(1-'Inputs'!$B$12))*C13*B13-F13)/(1-MIN('Inputs'!$B$14,'Inputs'!$B$15,'Inputs'!$B$11*(1-'Inputs'!$B$12))))))</f>
        <v/>
      </c>
      <c r="I13" s="13">
        <f>IF($A13="","",H13/B13)</f>
        <v/>
      </c>
      <c r="J13" s="13">
        <f>IF($A13="","",C13+I13)</f>
        <v/>
      </c>
      <c r="K13" s="11">
        <f>IF($A13="","",F13+H13)</f>
        <v/>
      </c>
      <c r="L13" s="13">
        <f>IF($A13="","",J13)</f>
        <v/>
      </c>
      <c r="M13" s="13">
        <f>IF($A13="","",K13/B13)</f>
        <v/>
      </c>
      <c r="N13" s="13">
        <f>IF($A13="","",L13-M13)</f>
        <v/>
      </c>
      <c r="O13" s="13">
        <f>IF($A13="","",L13-'Inputs'!$B$7)</f>
        <v/>
      </c>
      <c r="P13" s="11">
        <f>IF($A13="","",L13*B13-K13)</f>
        <v/>
      </c>
      <c r="Q13" s="12">
        <f>IF($A13="","",IF(J13*B13=0,0,K13/(J13*B13)))</f>
        <v/>
      </c>
      <c r="R13" s="6">
        <f>IF($A13="","",L13/'Inputs'!$B$7)</f>
        <v/>
      </c>
      <c r="S13" s="11">
        <f>IF($A13="","",IF(K13=0,0,K13/(J13*'Inputs'!$B$10)))</f>
        <v/>
      </c>
      <c r="T13" s="11">
        <f>IF($A13="","",IF(K13=0,0,K13/(J13*'Inputs'!$B$11)))</f>
        <v/>
      </c>
      <c r="U13" s="12">
        <f>IF($A13="","",IF(T13&lt;=0,0,1-T13/B13))</f>
        <v/>
      </c>
      <c r="V13" s="6">
        <f>IF($A13="","",IF(Q13=0,"SAFE",IF(Q13&gt;='Inputs'!$B$11,"LIQUIDATED",IF(Q13&gt;='Inputs'!$B$10,"MARGIN CALL",IF(OR(Q13&gt;='Inputs'!$B$23,U13&lt;'Inputs'!$B$12),"WARNING","SAFE")))))</f>
        <v/>
      </c>
    </row>
    <row r="14">
      <c r="A14" s="6">
        <f>'Price Projection'!A14</f>
        <v/>
      </c>
      <c r="B14" s="11">
        <f>IF($A14="","",'Price Projection'!B14)</f>
        <v/>
      </c>
      <c r="C14" s="13">
        <f>IF($A14="","",J13)</f>
        <v/>
      </c>
      <c r="D14" s="11">
        <f>IF($A14="","",K13)</f>
        <v/>
      </c>
      <c r="E14" s="11">
        <f>IF($A14="","",D14*'Inputs'!$B$8)</f>
        <v/>
      </c>
      <c r="F14" s="11">
        <f>IF($A14="","",IF('Inputs'!$B$9="capitalized",D14+E14,D14))</f>
        <v/>
      </c>
      <c r="G14" s="12">
        <f>IF($A14="","",IF(C14*B14=0,0,F14/(C14*B14)))</f>
        <v/>
      </c>
      <c r="H14" s="11">
        <f>IF($A14="","",IF(G14&gt;='Inputs'!$B$10,0,MAX(0,(MIN('Inputs'!$B$14,'Inputs'!$B$15,'Inputs'!$B$11*(1-'Inputs'!$B$12))*C14*B14-F14)/(1-MIN('Inputs'!$B$14,'Inputs'!$B$15,'Inputs'!$B$11*(1-'Inputs'!$B$12))))))</f>
        <v/>
      </c>
      <c r="I14" s="13">
        <f>IF($A14="","",H14/B14)</f>
        <v/>
      </c>
      <c r="J14" s="13">
        <f>IF($A14="","",C14+I14)</f>
        <v/>
      </c>
      <c r="K14" s="11">
        <f>IF($A14="","",F14+H14)</f>
        <v/>
      </c>
      <c r="L14" s="13">
        <f>IF($A14="","",J14)</f>
        <v/>
      </c>
      <c r="M14" s="13">
        <f>IF($A14="","",K14/B14)</f>
        <v/>
      </c>
      <c r="N14" s="13">
        <f>IF($A14="","",L14-M14)</f>
        <v/>
      </c>
      <c r="O14" s="13">
        <f>IF($A14="","",L14-'Inputs'!$B$7)</f>
        <v/>
      </c>
      <c r="P14" s="11">
        <f>IF($A14="","",L14*B14-K14)</f>
        <v/>
      </c>
      <c r="Q14" s="12">
        <f>IF($A14="","",IF(J14*B14=0,0,K14/(J14*B14)))</f>
        <v/>
      </c>
      <c r="R14" s="6">
        <f>IF($A14="","",L14/'Inputs'!$B$7)</f>
        <v/>
      </c>
      <c r="S14" s="11">
        <f>IF($A14="","",IF(K14=0,0,K14/(J14*'Inputs'!$B$10)))</f>
        <v/>
      </c>
      <c r="T14" s="11">
        <f>IF($A14="","",IF(K14=0,0,K14/(J14*'Inputs'!$B$11)))</f>
        <v/>
      </c>
      <c r="U14" s="12">
        <f>IF($A14="","",IF(T14&lt;=0,0,1-T14/B14))</f>
        <v/>
      </c>
      <c r="V14" s="6">
        <f>IF($A14="","",IF(Q14=0,"SAFE",IF(Q14&gt;='Inputs'!$B$11,"LIQUIDATED",IF(Q14&gt;='Inputs'!$B$10,"MARGIN CALL",IF(OR(Q14&gt;='Inputs'!$B$23,U14&lt;'Inputs'!$B$12),"WARNING","SAFE")))))</f>
        <v/>
      </c>
    </row>
    <row r="15">
      <c r="A15" s="6">
        <f>'Price Projection'!A15</f>
        <v/>
      </c>
      <c r="B15" s="11">
        <f>IF($A15="","",'Price Projection'!B15)</f>
        <v/>
      </c>
      <c r="C15" s="13">
        <f>IF($A15="","",J14)</f>
        <v/>
      </c>
      <c r="D15" s="11">
        <f>IF($A15="","",K14)</f>
        <v/>
      </c>
      <c r="E15" s="11">
        <f>IF($A15="","",D15*'Inputs'!$B$8)</f>
        <v/>
      </c>
      <c r="F15" s="11">
        <f>IF($A15="","",IF('Inputs'!$B$9="capitalized",D15+E15,D15))</f>
        <v/>
      </c>
      <c r="G15" s="12">
        <f>IF($A15="","",IF(C15*B15=0,0,F15/(C15*B15)))</f>
        <v/>
      </c>
      <c r="H15" s="11">
        <f>IF($A15="","",IF(G15&gt;='Inputs'!$B$10,0,MAX(0,(MIN('Inputs'!$B$14,'Inputs'!$B$15,'Inputs'!$B$11*(1-'Inputs'!$B$12))*C15*B15-F15)/(1-MIN('Inputs'!$B$14,'Inputs'!$B$15,'Inputs'!$B$11*(1-'Inputs'!$B$12))))))</f>
        <v/>
      </c>
      <c r="I15" s="13">
        <f>IF($A15="","",H15/B15)</f>
        <v/>
      </c>
      <c r="J15" s="13">
        <f>IF($A15="","",C15+I15)</f>
        <v/>
      </c>
      <c r="K15" s="11">
        <f>IF($A15="","",F15+H15)</f>
        <v/>
      </c>
      <c r="L15" s="13">
        <f>IF($A15="","",J15)</f>
        <v/>
      </c>
      <c r="M15" s="13">
        <f>IF($A15="","",K15/B15)</f>
        <v/>
      </c>
      <c r="N15" s="13">
        <f>IF($A15="","",L15-M15)</f>
        <v/>
      </c>
      <c r="O15" s="13">
        <f>IF($A15="","",L15-'Inputs'!$B$7)</f>
        <v/>
      </c>
      <c r="P15" s="11">
        <f>IF($A15="","",L15*B15-K15)</f>
        <v/>
      </c>
      <c r="Q15" s="12">
        <f>IF($A15="","",IF(J15*B15=0,0,K15/(J15*B15)))</f>
        <v/>
      </c>
      <c r="R15" s="6">
        <f>IF($A15="","",L15/'Inputs'!$B$7)</f>
        <v/>
      </c>
      <c r="S15" s="11">
        <f>IF($A15="","",IF(K15=0,0,K15/(J15*'Inputs'!$B$10)))</f>
        <v/>
      </c>
      <c r="T15" s="11">
        <f>IF($A15="","",IF(K15=0,0,K15/(J15*'Inputs'!$B$11)))</f>
        <v/>
      </c>
      <c r="U15" s="12">
        <f>IF($A15="","",IF(T15&lt;=0,0,1-T15/B15))</f>
        <v/>
      </c>
      <c r="V15" s="6">
        <f>IF($A15="","",IF(Q15=0,"SAFE",IF(Q15&gt;='Inputs'!$B$11,"LIQUIDATED",IF(Q15&gt;='Inputs'!$B$10,"MARGIN CALL",IF(OR(Q15&gt;='Inputs'!$B$23,U15&lt;'Inputs'!$B$12),"WARNING","SAFE")))))</f>
        <v/>
      </c>
    </row>
    <row r="16">
      <c r="A16" s="6">
        <f>'Price Projection'!A16</f>
        <v/>
      </c>
      <c r="B16" s="11">
        <f>IF($A16="","",'Price Projection'!B16)</f>
        <v/>
      </c>
      <c r="C16" s="13">
        <f>IF($A16="","",J15)</f>
        <v/>
      </c>
      <c r="D16" s="11">
        <f>IF($A16="","",K15)</f>
        <v/>
      </c>
      <c r="E16" s="11">
        <f>IF($A16="","",D16*'Inputs'!$B$8)</f>
        <v/>
      </c>
      <c r="F16" s="11">
        <f>IF($A16="","",IF('Inputs'!$B$9="capitalized",D16+E16,D16))</f>
        <v/>
      </c>
      <c r="G16" s="12">
        <f>IF($A16="","",IF(C16*B16=0,0,F16/(C16*B16)))</f>
        <v/>
      </c>
      <c r="H16" s="11">
        <f>IF($A16="","",IF(G16&gt;='Inputs'!$B$10,0,MAX(0,(MIN('Inputs'!$B$14,'Inputs'!$B$15,'Inputs'!$B$11*(1-'Inputs'!$B$12))*C16*B16-F16)/(1-MIN('Inputs'!$B$14,'Inputs'!$B$15,'Inputs'!$B$11*(1-'Inputs'!$B$12))))))</f>
        <v/>
      </c>
      <c r="I16" s="13">
        <f>IF($A16="","",H16/B16)</f>
        <v/>
      </c>
      <c r="J16" s="13">
        <f>IF($A16="","",C16+I16)</f>
        <v/>
      </c>
      <c r="K16" s="11">
        <f>IF($A16="","",F16+H16)</f>
        <v/>
      </c>
      <c r="L16" s="13">
        <f>IF($A16="","",J16)</f>
        <v/>
      </c>
      <c r="M16" s="13">
        <f>IF($A16="","",K16/B16)</f>
        <v/>
      </c>
      <c r="N16" s="13">
        <f>IF($A16="","",L16-M16)</f>
        <v/>
      </c>
      <c r="O16" s="13">
        <f>IF($A16="","",L16-'Inputs'!$B$7)</f>
        <v/>
      </c>
      <c r="P16" s="11">
        <f>IF($A16="","",L16*B16-K16)</f>
        <v/>
      </c>
      <c r="Q16" s="12">
        <f>IF($A16="","",IF(J16*B16=0,0,K16/(J16*B16)))</f>
        <v/>
      </c>
      <c r="R16" s="6">
        <f>IF($A16="","",L16/'Inputs'!$B$7)</f>
        <v/>
      </c>
      <c r="S16" s="11">
        <f>IF($A16="","",IF(K16=0,0,K16/(J16*'Inputs'!$B$10)))</f>
        <v/>
      </c>
      <c r="T16" s="11">
        <f>IF($A16="","",IF(K16=0,0,K16/(J16*'Inputs'!$B$11)))</f>
        <v/>
      </c>
      <c r="U16" s="12">
        <f>IF($A16="","",IF(T16&lt;=0,0,1-T16/B16))</f>
        <v/>
      </c>
      <c r="V16" s="6">
        <f>IF($A16="","",IF(Q16=0,"SAFE",IF(Q16&gt;='Inputs'!$B$11,"LIQUIDATED",IF(Q16&gt;='Inputs'!$B$10,"MARGIN CALL",IF(OR(Q16&gt;='Inputs'!$B$23,U16&lt;'Inputs'!$B$12),"WARNING","SAFE")))))</f>
        <v/>
      </c>
    </row>
    <row r="17">
      <c r="A17" s="6">
        <f>'Price Projection'!A17</f>
        <v/>
      </c>
      <c r="B17" s="11">
        <f>IF($A17="","",'Price Projection'!B17)</f>
        <v/>
      </c>
      <c r="C17" s="13">
        <f>IF($A17="","",J16)</f>
        <v/>
      </c>
      <c r="D17" s="11">
        <f>IF($A17="","",K16)</f>
        <v/>
      </c>
      <c r="E17" s="11">
        <f>IF($A17="","",D17*'Inputs'!$B$8)</f>
        <v/>
      </c>
      <c r="F17" s="11">
        <f>IF($A17="","",IF('Inputs'!$B$9="capitalized",D17+E17,D17))</f>
        <v/>
      </c>
      <c r="G17" s="12">
        <f>IF($A17="","",IF(C17*B17=0,0,F17/(C17*B17)))</f>
        <v/>
      </c>
      <c r="H17" s="11">
        <f>IF($A17="","",IF(G17&gt;='Inputs'!$B$10,0,MAX(0,(MIN('Inputs'!$B$14,'Inputs'!$B$15,'Inputs'!$B$11*(1-'Inputs'!$B$12))*C17*B17-F17)/(1-MIN('Inputs'!$B$14,'Inputs'!$B$15,'Inputs'!$B$11*(1-'Inputs'!$B$12))))))</f>
        <v/>
      </c>
      <c r="I17" s="13">
        <f>IF($A17="","",H17/B17)</f>
        <v/>
      </c>
      <c r="J17" s="13">
        <f>IF($A17="","",C17+I17)</f>
        <v/>
      </c>
      <c r="K17" s="11">
        <f>IF($A17="","",F17+H17)</f>
        <v/>
      </c>
      <c r="L17" s="13">
        <f>IF($A17="","",J17)</f>
        <v/>
      </c>
      <c r="M17" s="13">
        <f>IF($A17="","",K17/B17)</f>
        <v/>
      </c>
      <c r="N17" s="13">
        <f>IF($A17="","",L17-M17)</f>
        <v/>
      </c>
      <c r="O17" s="13">
        <f>IF($A17="","",L17-'Inputs'!$B$7)</f>
        <v/>
      </c>
      <c r="P17" s="11">
        <f>IF($A17="","",L17*B17-K17)</f>
        <v/>
      </c>
      <c r="Q17" s="12">
        <f>IF($A17="","",IF(J17*B17=0,0,K17/(J17*B17)))</f>
        <v/>
      </c>
      <c r="R17" s="6">
        <f>IF($A17="","",L17/'Inputs'!$B$7)</f>
        <v/>
      </c>
      <c r="S17" s="11">
        <f>IF($A17="","",IF(K17=0,0,K17/(J17*'Inputs'!$B$10)))</f>
        <v/>
      </c>
      <c r="T17" s="11">
        <f>IF($A17="","",IF(K17=0,0,K17/(J17*'Inputs'!$B$11)))</f>
        <v/>
      </c>
      <c r="U17" s="12">
        <f>IF($A17="","",IF(T17&lt;=0,0,1-T17/B17))</f>
        <v/>
      </c>
      <c r="V17" s="6">
        <f>IF($A17="","",IF(Q17=0,"SAFE",IF(Q17&gt;='Inputs'!$B$11,"LIQUIDATED",IF(Q17&gt;='Inputs'!$B$10,"MARGIN CALL",IF(OR(Q17&gt;='Inputs'!$B$23,U17&lt;'Inputs'!$B$12),"WARNING","SAFE")))))</f>
        <v/>
      </c>
    </row>
    <row r="18">
      <c r="A18" s="6">
        <f>'Price Projection'!A18</f>
        <v/>
      </c>
      <c r="B18" s="11">
        <f>IF($A18="","",'Price Projection'!B18)</f>
        <v/>
      </c>
      <c r="C18" s="13">
        <f>IF($A18="","",J17)</f>
        <v/>
      </c>
      <c r="D18" s="11">
        <f>IF($A18="","",K17)</f>
        <v/>
      </c>
      <c r="E18" s="11">
        <f>IF($A18="","",D18*'Inputs'!$B$8)</f>
        <v/>
      </c>
      <c r="F18" s="11">
        <f>IF($A18="","",IF('Inputs'!$B$9="capitalized",D18+E18,D18))</f>
        <v/>
      </c>
      <c r="G18" s="12">
        <f>IF($A18="","",IF(C18*B18=0,0,F18/(C18*B18)))</f>
        <v/>
      </c>
      <c r="H18" s="11">
        <f>IF($A18="","",IF(G18&gt;='Inputs'!$B$10,0,MAX(0,(MIN('Inputs'!$B$14,'Inputs'!$B$15,'Inputs'!$B$11*(1-'Inputs'!$B$12))*C18*B18-F18)/(1-MIN('Inputs'!$B$14,'Inputs'!$B$15,'Inputs'!$B$11*(1-'Inputs'!$B$12))))))</f>
        <v/>
      </c>
      <c r="I18" s="13">
        <f>IF($A18="","",H18/B18)</f>
        <v/>
      </c>
      <c r="J18" s="13">
        <f>IF($A18="","",C18+I18)</f>
        <v/>
      </c>
      <c r="K18" s="11">
        <f>IF($A18="","",F18+H18)</f>
        <v/>
      </c>
      <c r="L18" s="13">
        <f>IF($A18="","",J18)</f>
        <v/>
      </c>
      <c r="M18" s="13">
        <f>IF($A18="","",K18/B18)</f>
        <v/>
      </c>
      <c r="N18" s="13">
        <f>IF($A18="","",L18-M18)</f>
        <v/>
      </c>
      <c r="O18" s="13">
        <f>IF($A18="","",L18-'Inputs'!$B$7)</f>
        <v/>
      </c>
      <c r="P18" s="11">
        <f>IF($A18="","",L18*B18-K18)</f>
        <v/>
      </c>
      <c r="Q18" s="12">
        <f>IF($A18="","",IF(J18*B18=0,0,K18/(J18*B18)))</f>
        <v/>
      </c>
      <c r="R18" s="6">
        <f>IF($A18="","",L18/'Inputs'!$B$7)</f>
        <v/>
      </c>
      <c r="S18" s="11">
        <f>IF($A18="","",IF(K18=0,0,K18/(J18*'Inputs'!$B$10)))</f>
        <v/>
      </c>
      <c r="T18" s="11">
        <f>IF($A18="","",IF(K18=0,0,K18/(J18*'Inputs'!$B$11)))</f>
        <v/>
      </c>
      <c r="U18" s="12">
        <f>IF($A18="","",IF(T18&lt;=0,0,1-T18/B18))</f>
        <v/>
      </c>
      <c r="V18" s="6">
        <f>IF($A18="","",IF(Q18=0,"SAFE",IF(Q18&gt;='Inputs'!$B$11,"LIQUIDATED",IF(Q18&gt;='Inputs'!$B$10,"MARGIN CALL",IF(OR(Q18&gt;='Inputs'!$B$23,U18&lt;'Inputs'!$B$12),"WARNING","SAFE")))))</f>
        <v/>
      </c>
    </row>
    <row r="19">
      <c r="A19" s="6">
        <f>'Price Projection'!A19</f>
        <v/>
      </c>
      <c r="B19" s="11">
        <f>IF($A19="","",'Price Projection'!B19)</f>
        <v/>
      </c>
      <c r="C19" s="13">
        <f>IF($A19="","",J18)</f>
        <v/>
      </c>
      <c r="D19" s="11">
        <f>IF($A19="","",K18)</f>
        <v/>
      </c>
      <c r="E19" s="11">
        <f>IF($A19="","",D19*'Inputs'!$B$8)</f>
        <v/>
      </c>
      <c r="F19" s="11">
        <f>IF($A19="","",IF('Inputs'!$B$9="capitalized",D19+E19,D19))</f>
        <v/>
      </c>
      <c r="G19" s="12">
        <f>IF($A19="","",IF(C19*B19=0,0,F19/(C19*B19)))</f>
        <v/>
      </c>
      <c r="H19" s="11">
        <f>IF($A19="","",IF(G19&gt;='Inputs'!$B$10,0,MAX(0,(MIN('Inputs'!$B$14,'Inputs'!$B$15,'Inputs'!$B$11*(1-'Inputs'!$B$12))*C19*B19-F19)/(1-MIN('Inputs'!$B$14,'Inputs'!$B$15,'Inputs'!$B$11*(1-'Inputs'!$B$12))))))</f>
        <v/>
      </c>
      <c r="I19" s="13">
        <f>IF($A19="","",H19/B19)</f>
        <v/>
      </c>
      <c r="J19" s="13">
        <f>IF($A19="","",C19+I19)</f>
        <v/>
      </c>
      <c r="K19" s="11">
        <f>IF($A19="","",F19+H19)</f>
        <v/>
      </c>
      <c r="L19" s="13">
        <f>IF($A19="","",J19)</f>
        <v/>
      </c>
      <c r="M19" s="13">
        <f>IF($A19="","",K19/B19)</f>
        <v/>
      </c>
      <c r="N19" s="13">
        <f>IF($A19="","",L19-M19)</f>
        <v/>
      </c>
      <c r="O19" s="13">
        <f>IF($A19="","",L19-'Inputs'!$B$7)</f>
        <v/>
      </c>
      <c r="P19" s="11">
        <f>IF($A19="","",L19*B19-K19)</f>
        <v/>
      </c>
      <c r="Q19" s="12">
        <f>IF($A19="","",IF(J19*B19=0,0,K19/(J19*B19)))</f>
        <v/>
      </c>
      <c r="R19" s="6">
        <f>IF($A19="","",L19/'Inputs'!$B$7)</f>
        <v/>
      </c>
      <c r="S19" s="11">
        <f>IF($A19="","",IF(K19=0,0,K19/(J19*'Inputs'!$B$10)))</f>
        <v/>
      </c>
      <c r="T19" s="11">
        <f>IF($A19="","",IF(K19=0,0,K19/(J19*'Inputs'!$B$11)))</f>
        <v/>
      </c>
      <c r="U19" s="12">
        <f>IF($A19="","",IF(T19&lt;=0,0,1-T19/B19))</f>
        <v/>
      </c>
      <c r="V19" s="6">
        <f>IF($A19="","",IF(Q19=0,"SAFE",IF(Q19&gt;='Inputs'!$B$11,"LIQUIDATED",IF(Q19&gt;='Inputs'!$B$10,"MARGIN CALL",IF(OR(Q19&gt;='Inputs'!$B$23,U19&lt;'Inputs'!$B$12),"WARNING","SAFE")))))</f>
        <v/>
      </c>
    </row>
    <row r="20">
      <c r="A20" s="6">
        <f>'Price Projection'!A20</f>
        <v/>
      </c>
      <c r="B20" s="11">
        <f>IF($A20="","",'Price Projection'!B20)</f>
        <v/>
      </c>
      <c r="C20" s="13">
        <f>IF($A20="","",J19)</f>
        <v/>
      </c>
      <c r="D20" s="11">
        <f>IF($A20="","",K19)</f>
        <v/>
      </c>
      <c r="E20" s="11">
        <f>IF($A20="","",D20*'Inputs'!$B$8)</f>
        <v/>
      </c>
      <c r="F20" s="11">
        <f>IF($A20="","",IF('Inputs'!$B$9="capitalized",D20+E20,D20))</f>
        <v/>
      </c>
      <c r="G20" s="12">
        <f>IF($A20="","",IF(C20*B20=0,0,F20/(C20*B20)))</f>
        <v/>
      </c>
      <c r="H20" s="11">
        <f>IF($A20="","",IF(G20&gt;='Inputs'!$B$10,0,MAX(0,(MIN('Inputs'!$B$14,'Inputs'!$B$15,'Inputs'!$B$11*(1-'Inputs'!$B$12))*C20*B20-F20)/(1-MIN('Inputs'!$B$14,'Inputs'!$B$15,'Inputs'!$B$11*(1-'Inputs'!$B$12))))))</f>
        <v/>
      </c>
      <c r="I20" s="13">
        <f>IF($A20="","",H20/B20)</f>
        <v/>
      </c>
      <c r="J20" s="13">
        <f>IF($A20="","",C20+I20)</f>
        <v/>
      </c>
      <c r="K20" s="11">
        <f>IF($A20="","",F20+H20)</f>
        <v/>
      </c>
      <c r="L20" s="13">
        <f>IF($A20="","",J20)</f>
        <v/>
      </c>
      <c r="M20" s="13">
        <f>IF($A20="","",K20/B20)</f>
        <v/>
      </c>
      <c r="N20" s="13">
        <f>IF($A20="","",L20-M20)</f>
        <v/>
      </c>
      <c r="O20" s="13">
        <f>IF($A20="","",L20-'Inputs'!$B$7)</f>
        <v/>
      </c>
      <c r="P20" s="11">
        <f>IF($A20="","",L20*B20-K20)</f>
        <v/>
      </c>
      <c r="Q20" s="12">
        <f>IF($A20="","",IF(J20*B20=0,0,K20/(J20*B20)))</f>
        <v/>
      </c>
      <c r="R20" s="6">
        <f>IF($A20="","",L20/'Inputs'!$B$7)</f>
        <v/>
      </c>
      <c r="S20" s="11">
        <f>IF($A20="","",IF(K20=0,0,K20/(J20*'Inputs'!$B$10)))</f>
        <v/>
      </c>
      <c r="T20" s="11">
        <f>IF($A20="","",IF(K20=0,0,K20/(J20*'Inputs'!$B$11)))</f>
        <v/>
      </c>
      <c r="U20" s="12">
        <f>IF($A20="","",IF(T20&lt;=0,0,1-T20/B20))</f>
        <v/>
      </c>
      <c r="V20" s="6">
        <f>IF($A20="","",IF(Q20=0,"SAFE",IF(Q20&gt;='Inputs'!$B$11,"LIQUIDATED",IF(Q20&gt;='Inputs'!$B$10,"MARGIN CALL",IF(OR(Q20&gt;='Inputs'!$B$23,U20&lt;'Inputs'!$B$12),"WARNING","SAFE")))))</f>
        <v/>
      </c>
    </row>
    <row r="21">
      <c r="A21" s="6">
        <f>'Price Projection'!A21</f>
        <v/>
      </c>
      <c r="B21" s="11">
        <f>IF($A21="","",'Price Projection'!B21)</f>
        <v/>
      </c>
      <c r="C21" s="13">
        <f>IF($A21="","",J20)</f>
        <v/>
      </c>
      <c r="D21" s="11">
        <f>IF($A21="","",K20)</f>
        <v/>
      </c>
      <c r="E21" s="11">
        <f>IF($A21="","",D21*'Inputs'!$B$8)</f>
        <v/>
      </c>
      <c r="F21" s="11">
        <f>IF($A21="","",IF('Inputs'!$B$9="capitalized",D21+E21,D21))</f>
        <v/>
      </c>
      <c r="G21" s="12">
        <f>IF($A21="","",IF(C21*B21=0,0,F21/(C21*B21)))</f>
        <v/>
      </c>
      <c r="H21" s="11">
        <f>IF($A21="","",IF(G21&gt;='Inputs'!$B$10,0,MAX(0,(MIN('Inputs'!$B$14,'Inputs'!$B$15,'Inputs'!$B$11*(1-'Inputs'!$B$12))*C21*B21-F21)/(1-MIN('Inputs'!$B$14,'Inputs'!$B$15,'Inputs'!$B$11*(1-'Inputs'!$B$12))))))</f>
        <v/>
      </c>
      <c r="I21" s="13">
        <f>IF($A21="","",H21/B21)</f>
        <v/>
      </c>
      <c r="J21" s="13">
        <f>IF($A21="","",C21+I21)</f>
        <v/>
      </c>
      <c r="K21" s="11">
        <f>IF($A21="","",F21+H21)</f>
        <v/>
      </c>
      <c r="L21" s="13">
        <f>IF($A21="","",J21)</f>
        <v/>
      </c>
      <c r="M21" s="13">
        <f>IF($A21="","",K21/B21)</f>
        <v/>
      </c>
      <c r="N21" s="13">
        <f>IF($A21="","",L21-M21)</f>
        <v/>
      </c>
      <c r="O21" s="13">
        <f>IF($A21="","",L21-'Inputs'!$B$7)</f>
        <v/>
      </c>
      <c r="P21" s="11">
        <f>IF($A21="","",L21*B21-K21)</f>
        <v/>
      </c>
      <c r="Q21" s="12">
        <f>IF($A21="","",IF(J21*B21=0,0,K21/(J21*B21)))</f>
        <v/>
      </c>
      <c r="R21" s="6">
        <f>IF($A21="","",L21/'Inputs'!$B$7)</f>
        <v/>
      </c>
      <c r="S21" s="11">
        <f>IF($A21="","",IF(K21=0,0,K21/(J21*'Inputs'!$B$10)))</f>
        <v/>
      </c>
      <c r="T21" s="11">
        <f>IF($A21="","",IF(K21=0,0,K21/(J21*'Inputs'!$B$11)))</f>
        <v/>
      </c>
      <c r="U21" s="12">
        <f>IF($A21="","",IF(T21&lt;=0,0,1-T21/B21))</f>
        <v/>
      </c>
      <c r="V21" s="6">
        <f>IF($A21="","",IF(Q21=0,"SAFE",IF(Q21&gt;='Inputs'!$B$11,"LIQUIDATED",IF(Q21&gt;='Inputs'!$B$10,"MARGIN CALL",IF(OR(Q21&gt;='Inputs'!$B$23,U21&lt;'Inputs'!$B$12),"WARNING","SAFE")))))</f>
        <v/>
      </c>
    </row>
    <row r="22">
      <c r="A22" s="6">
        <f>'Price Projection'!A22</f>
        <v/>
      </c>
      <c r="B22" s="11">
        <f>IF($A22="","",'Price Projection'!B22)</f>
        <v/>
      </c>
      <c r="C22" s="13">
        <f>IF($A22="","",J21)</f>
        <v/>
      </c>
      <c r="D22" s="11">
        <f>IF($A22="","",K21)</f>
        <v/>
      </c>
      <c r="E22" s="11">
        <f>IF($A22="","",D22*'Inputs'!$B$8)</f>
        <v/>
      </c>
      <c r="F22" s="11">
        <f>IF($A22="","",IF('Inputs'!$B$9="capitalized",D22+E22,D22))</f>
        <v/>
      </c>
      <c r="G22" s="12">
        <f>IF($A22="","",IF(C22*B22=0,0,F22/(C22*B22)))</f>
        <v/>
      </c>
      <c r="H22" s="11">
        <f>IF($A22="","",IF(G22&gt;='Inputs'!$B$10,0,MAX(0,(MIN('Inputs'!$B$14,'Inputs'!$B$15,'Inputs'!$B$11*(1-'Inputs'!$B$12))*C22*B22-F22)/(1-MIN('Inputs'!$B$14,'Inputs'!$B$15,'Inputs'!$B$11*(1-'Inputs'!$B$12))))))</f>
        <v/>
      </c>
      <c r="I22" s="13">
        <f>IF($A22="","",H22/B22)</f>
        <v/>
      </c>
      <c r="J22" s="13">
        <f>IF($A22="","",C22+I22)</f>
        <v/>
      </c>
      <c r="K22" s="11">
        <f>IF($A22="","",F22+H22)</f>
        <v/>
      </c>
      <c r="L22" s="13">
        <f>IF($A22="","",J22)</f>
        <v/>
      </c>
      <c r="M22" s="13">
        <f>IF($A22="","",K22/B22)</f>
        <v/>
      </c>
      <c r="N22" s="13">
        <f>IF($A22="","",L22-M22)</f>
        <v/>
      </c>
      <c r="O22" s="13">
        <f>IF($A22="","",L22-'Inputs'!$B$7)</f>
        <v/>
      </c>
      <c r="P22" s="11">
        <f>IF($A22="","",L22*B22-K22)</f>
        <v/>
      </c>
      <c r="Q22" s="12">
        <f>IF($A22="","",IF(J22*B22=0,0,K22/(J22*B22)))</f>
        <v/>
      </c>
      <c r="R22" s="6">
        <f>IF($A22="","",L22/'Inputs'!$B$7)</f>
        <v/>
      </c>
      <c r="S22" s="11">
        <f>IF($A22="","",IF(K22=0,0,K22/(J22*'Inputs'!$B$10)))</f>
        <v/>
      </c>
      <c r="T22" s="11">
        <f>IF($A22="","",IF(K22=0,0,K22/(J22*'Inputs'!$B$11)))</f>
        <v/>
      </c>
      <c r="U22" s="12">
        <f>IF($A22="","",IF(T22&lt;=0,0,1-T22/B22))</f>
        <v/>
      </c>
      <c r="V22" s="6">
        <f>IF($A22="","",IF(Q22=0,"SAFE",IF(Q22&gt;='Inputs'!$B$11,"LIQUIDATED",IF(Q22&gt;='Inputs'!$B$10,"MARGIN CALL",IF(OR(Q22&gt;='Inputs'!$B$23,U22&lt;'Inputs'!$B$12),"WARNING","SAFE")))))</f>
        <v/>
      </c>
    </row>
    <row r="23">
      <c r="A23" s="6">
        <f>'Price Projection'!A23</f>
        <v/>
      </c>
      <c r="B23" s="11">
        <f>IF($A23="","",'Price Projection'!B23)</f>
        <v/>
      </c>
      <c r="C23" s="13">
        <f>IF($A23="","",J22)</f>
        <v/>
      </c>
      <c r="D23" s="11">
        <f>IF($A23="","",K22)</f>
        <v/>
      </c>
      <c r="E23" s="11">
        <f>IF($A23="","",D23*'Inputs'!$B$8)</f>
        <v/>
      </c>
      <c r="F23" s="11">
        <f>IF($A23="","",IF('Inputs'!$B$9="capitalized",D23+E23,D23))</f>
        <v/>
      </c>
      <c r="G23" s="12">
        <f>IF($A23="","",IF(C23*B23=0,0,F23/(C23*B23)))</f>
        <v/>
      </c>
      <c r="H23" s="11">
        <f>IF($A23="","",IF(G23&gt;='Inputs'!$B$10,0,MAX(0,(MIN('Inputs'!$B$14,'Inputs'!$B$15,'Inputs'!$B$11*(1-'Inputs'!$B$12))*C23*B23-F23)/(1-MIN('Inputs'!$B$14,'Inputs'!$B$15,'Inputs'!$B$11*(1-'Inputs'!$B$12))))))</f>
        <v/>
      </c>
      <c r="I23" s="13">
        <f>IF($A23="","",H23/B23)</f>
        <v/>
      </c>
      <c r="J23" s="13">
        <f>IF($A23="","",C23+I23)</f>
        <v/>
      </c>
      <c r="K23" s="11">
        <f>IF($A23="","",F23+H23)</f>
        <v/>
      </c>
      <c r="L23" s="13">
        <f>IF($A23="","",J23)</f>
        <v/>
      </c>
      <c r="M23" s="13">
        <f>IF($A23="","",K23/B23)</f>
        <v/>
      </c>
      <c r="N23" s="13">
        <f>IF($A23="","",L23-M23)</f>
        <v/>
      </c>
      <c r="O23" s="13">
        <f>IF($A23="","",L23-'Inputs'!$B$7)</f>
        <v/>
      </c>
      <c r="P23" s="11">
        <f>IF($A23="","",L23*B23-K23)</f>
        <v/>
      </c>
      <c r="Q23" s="12">
        <f>IF($A23="","",IF(J23*B23=0,0,K23/(J23*B23)))</f>
        <v/>
      </c>
      <c r="R23" s="6">
        <f>IF($A23="","",L23/'Inputs'!$B$7)</f>
        <v/>
      </c>
      <c r="S23" s="11">
        <f>IF($A23="","",IF(K23=0,0,K23/(J23*'Inputs'!$B$10)))</f>
        <v/>
      </c>
      <c r="T23" s="11">
        <f>IF($A23="","",IF(K23=0,0,K23/(J23*'Inputs'!$B$11)))</f>
        <v/>
      </c>
      <c r="U23" s="12">
        <f>IF($A23="","",IF(T23&lt;=0,0,1-T23/B23))</f>
        <v/>
      </c>
      <c r="V23" s="6">
        <f>IF($A23="","",IF(Q23=0,"SAFE",IF(Q23&gt;='Inputs'!$B$11,"LIQUIDATED",IF(Q23&gt;='Inputs'!$B$10,"MARGIN CALL",IF(OR(Q23&gt;='Inputs'!$B$23,U23&lt;'Inputs'!$B$12),"WARNING","SAFE")))))</f>
        <v/>
      </c>
    </row>
    <row r="24">
      <c r="A24" s="6">
        <f>'Price Projection'!A24</f>
        <v/>
      </c>
      <c r="B24" s="11">
        <f>IF($A24="","",'Price Projection'!B24)</f>
        <v/>
      </c>
      <c r="C24" s="13">
        <f>IF($A24="","",J23)</f>
        <v/>
      </c>
      <c r="D24" s="11">
        <f>IF($A24="","",K23)</f>
        <v/>
      </c>
      <c r="E24" s="11">
        <f>IF($A24="","",D24*'Inputs'!$B$8)</f>
        <v/>
      </c>
      <c r="F24" s="11">
        <f>IF($A24="","",IF('Inputs'!$B$9="capitalized",D24+E24,D24))</f>
        <v/>
      </c>
      <c r="G24" s="12">
        <f>IF($A24="","",IF(C24*B24=0,0,F24/(C24*B24)))</f>
        <v/>
      </c>
      <c r="H24" s="11">
        <f>IF($A24="","",IF(G24&gt;='Inputs'!$B$10,0,MAX(0,(MIN('Inputs'!$B$14,'Inputs'!$B$15,'Inputs'!$B$11*(1-'Inputs'!$B$12))*C24*B24-F24)/(1-MIN('Inputs'!$B$14,'Inputs'!$B$15,'Inputs'!$B$11*(1-'Inputs'!$B$12))))))</f>
        <v/>
      </c>
      <c r="I24" s="13">
        <f>IF($A24="","",H24/B24)</f>
        <v/>
      </c>
      <c r="J24" s="13">
        <f>IF($A24="","",C24+I24)</f>
        <v/>
      </c>
      <c r="K24" s="11">
        <f>IF($A24="","",F24+H24)</f>
        <v/>
      </c>
      <c r="L24" s="13">
        <f>IF($A24="","",J24)</f>
        <v/>
      </c>
      <c r="M24" s="13">
        <f>IF($A24="","",K24/B24)</f>
        <v/>
      </c>
      <c r="N24" s="13">
        <f>IF($A24="","",L24-M24)</f>
        <v/>
      </c>
      <c r="O24" s="13">
        <f>IF($A24="","",L24-'Inputs'!$B$7)</f>
        <v/>
      </c>
      <c r="P24" s="11">
        <f>IF($A24="","",L24*B24-K24)</f>
        <v/>
      </c>
      <c r="Q24" s="12">
        <f>IF($A24="","",IF(J24*B24=0,0,K24/(J24*B24)))</f>
        <v/>
      </c>
      <c r="R24" s="6">
        <f>IF($A24="","",L24/'Inputs'!$B$7)</f>
        <v/>
      </c>
      <c r="S24" s="11">
        <f>IF($A24="","",IF(K24=0,0,K24/(J24*'Inputs'!$B$10)))</f>
        <v/>
      </c>
      <c r="T24" s="11">
        <f>IF($A24="","",IF(K24=0,0,K24/(J24*'Inputs'!$B$11)))</f>
        <v/>
      </c>
      <c r="U24" s="12">
        <f>IF($A24="","",IF(T24&lt;=0,0,1-T24/B24))</f>
        <v/>
      </c>
      <c r="V24" s="6">
        <f>IF($A24="","",IF(Q24=0,"SAFE",IF(Q24&gt;='Inputs'!$B$11,"LIQUIDATED",IF(Q24&gt;='Inputs'!$B$10,"MARGIN CALL",IF(OR(Q24&gt;='Inputs'!$B$23,U24&lt;'Inputs'!$B$12),"WARNING","SAFE")))))</f>
        <v/>
      </c>
    </row>
    <row r="25">
      <c r="A25" s="6">
        <f>'Price Projection'!A25</f>
        <v/>
      </c>
      <c r="B25" s="11">
        <f>IF($A25="","",'Price Projection'!B25)</f>
        <v/>
      </c>
      <c r="C25" s="13">
        <f>IF($A25="","",J24)</f>
        <v/>
      </c>
      <c r="D25" s="11">
        <f>IF($A25="","",K24)</f>
        <v/>
      </c>
      <c r="E25" s="11">
        <f>IF($A25="","",D25*'Inputs'!$B$8)</f>
        <v/>
      </c>
      <c r="F25" s="11">
        <f>IF($A25="","",IF('Inputs'!$B$9="capitalized",D25+E25,D25))</f>
        <v/>
      </c>
      <c r="G25" s="12">
        <f>IF($A25="","",IF(C25*B25=0,0,F25/(C25*B25)))</f>
        <v/>
      </c>
      <c r="H25" s="11">
        <f>IF($A25="","",IF(G25&gt;='Inputs'!$B$10,0,MAX(0,(MIN('Inputs'!$B$14,'Inputs'!$B$15,'Inputs'!$B$11*(1-'Inputs'!$B$12))*C25*B25-F25)/(1-MIN('Inputs'!$B$14,'Inputs'!$B$15,'Inputs'!$B$11*(1-'Inputs'!$B$12))))))</f>
        <v/>
      </c>
      <c r="I25" s="13">
        <f>IF($A25="","",H25/B25)</f>
        <v/>
      </c>
      <c r="J25" s="13">
        <f>IF($A25="","",C25+I25)</f>
        <v/>
      </c>
      <c r="K25" s="11">
        <f>IF($A25="","",F25+H25)</f>
        <v/>
      </c>
      <c r="L25" s="13">
        <f>IF($A25="","",J25)</f>
        <v/>
      </c>
      <c r="M25" s="13">
        <f>IF($A25="","",K25/B25)</f>
        <v/>
      </c>
      <c r="N25" s="13">
        <f>IF($A25="","",L25-M25)</f>
        <v/>
      </c>
      <c r="O25" s="13">
        <f>IF($A25="","",L25-'Inputs'!$B$7)</f>
        <v/>
      </c>
      <c r="P25" s="11">
        <f>IF($A25="","",L25*B25-K25)</f>
        <v/>
      </c>
      <c r="Q25" s="12">
        <f>IF($A25="","",IF(J25*B25=0,0,K25/(J25*B25)))</f>
        <v/>
      </c>
      <c r="R25" s="6">
        <f>IF($A25="","",L25/'Inputs'!$B$7)</f>
        <v/>
      </c>
      <c r="S25" s="11">
        <f>IF($A25="","",IF(K25=0,0,K25/(J25*'Inputs'!$B$10)))</f>
        <v/>
      </c>
      <c r="T25" s="11">
        <f>IF($A25="","",IF(K25=0,0,K25/(J25*'Inputs'!$B$11)))</f>
        <v/>
      </c>
      <c r="U25" s="12">
        <f>IF($A25="","",IF(T25&lt;=0,0,1-T25/B25))</f>
        <v/>
      </c>
      <c r="V25" s="6">
        <f>IF($A25="","",IF(Q25=0,"SAFE",IF(Q25&gt;='Inputs'!$B$11,"LIQUIDATED",IF(Q25&gt;='Inputs'!$B$10,"MARGIN CALL",IF(OR(Q25&gt;='Inputs'!$B$23,U25&lt;'Inputs'!$B$12),"WARNING","SAFE")))))</f>
        <v/>
      </c>
    </row>
    <row r="26">
      <c r="A26" s="6">
        <f>'Price Projection'!A26</f>
        <v/>
      </c>
      <c r="B26" s="11">
        <f>IF($A26="","",'Price Projection'!B26)</f>
        <v/>
      </c>
      <c r="C26" s="13">
        <f>IF($A26="","",J25)</f>
        <v/>
      </c>
      <c r="D26" s="11">
        <f>IF($A26="","",K25)</f>
        <v/>
      </c>
      <c r="E26" s="11">
        <f>IF($A26="","",D26*'Inputs'!$B$8)</f>
        <v/>
      </c>
      <c r="F26" s="11">
        <f>IF($A26="","",IF('Inputs'!$B$9="capitalized",D26+E26,D26))</f>
        <v/>
      </c>
      <c r="G26" s="12">
        <f>IF($A26="","",IF(C26*B26=0,0,F26/(C26*B26)))</f>
        <v/>
      </c>
      <c r="H26" s="11">
        <f>IF($A26="","",IF(G26&gt;='Inputs'!$B$10,0,MAX(0,(MIN('Inputs'!$B$14,'Inputs'!$B$15,'Inputs'!$B$11*(1-'Inputs'!$B$12))*C26*B26-F26)/(1-MIN('Inputs'!$B$14,'Inputs'!$B$15,'Inputs'!$B$11*(1-'Inputs'!$B$12))))))</f>
        <v/>
      </c>
      <c r="I26" s="13">
        <f>IF($A26="","",H26/B26)</f>
        <v/>
      </c>
      <c r="J26" s="13">
        <f>IF($A26="","",C26+I26)</f>
        <v/>
      </c>
      <c r="K26" s="11">
        <f>IF($A26="","",F26+H26)</f>
        <v/>
      </c>
      <c r="L26" s="13">
        <f>IF($A26="","",J26)</f>
        <v/>
      </c>
      <c r="M26" s="13">
        <f>IF($A26="","",K26/B26)</f>
        <v/>
      </c>
      <c r="N26" s="13">
        <f>IF($A26="","",L26-M26)</f>
        <v/>
      </c>
      <c r="O26" s="13">
        <f>IF($A26="","",L26-'Inputs'!$B$7)</f>
        <v/>
      </c>
      <c r="P26" s="11">
        <f>IF($A26="","",L26*B26-K26)</f>
        <v/>
      </c>
      <c r="Q26" s="12">
        <f>IF($A26="","",IF(J26*B26=0,0,K26/(J26*B26)))</f>
        <v/>
      </c>
      <c r="R26" s="6">
        <f>IF($A26="","",L26/'Inputs'!$B$7)</f>
        <v/>
      </c>
      <c r="S26" s="11">
        <f>IF($A26="","",IF(K26=0,0,K26/(J26*'Inputs'!$B$10)))</f>
        <v/>
      </c>
      <c r="T26" s="11">
        <f>IF($A26="","",IF(K26=0,0,K26/(J26*'Inputs'!$B$11)))</f>
        <v/>
      </c>
      <c r="U26" s="12">
        <f>IF($A26="","",IF(T26&lt;=0,0,1-T26/B26))</f>
        <v/>
      </c>
      <c r="V26" s="6">
        <f>IF($A26="","",IF(Q26=0,"SAFE",IF(Q26&gt;='Inputs'!$B$11,"LIQUIDATED",IF(Q26&gt;='Inputs'!$B$10,"MARGIN CALL",IF(OR(Q26&gt;='Inputs'!$B$23,U26&lt;'Inputs'!$B$12),"WARNING","SAFE")))))</f>
        <v/>
      </c>
    </row>
    <row r="27">
      <c r="A27" s="6">
        <f>'Price Projection'!A27</f>
        <v/>
      </c>
      <c r="B27" s="11">
        <f>IF($A27="","",'Price Projection'!B27)</f>
        <v/>
      </c>
      <c r="C27" s="13">
        <f>IF($A27="","",J26)</f>
        <v/>
      </c>
      <c r="D27" s="11">
        <f>IF($A27="","",K26)</f>
        <v/>
      </c>
      <c r="E27" s="11">
        <f>IF($A27="","",D27*'Inputs'!$B$8)</f>
        <v/>
      </c>
      <c r="F27" s="11">
        <f>IF($A27="","",IF('Inputs'!$B$9="capitalized",D27+E27,D27))</f>
        <v/>
      </c>
      <c r="G27" s="12">
        <f>IF($A27="","",IF(C27*B27=0,0,F27/(C27*B27)))</f>
        <v/>
      </c>
      <c r="H27" s="11">
        <f>IF($A27="","",IF(G27&gt;='Inputs'!$B$10,0,MAX(0,(MIN('Inputs'!$B$14,'Inputs'!$B$15,'Inputs'!$B$11*(1-'Inputs'!$B$12))*C27*B27-F27)/(1-MIN('Inputs'!$B$14,'Inputs'!$B$15,'Inputs'!$B$11*(1-'Inputs'!$B$12))))))</f>
        <v/>
      </c>
      <c r="I27" s="13">
        <f>IF($A27="","",H27/B27)</f>
        <v/>
      </c>
      <c r="J27" s="13">
        <f>IF($A27="","",C27+I27)</f>
        <v/>
      </c>
      <c r="K27" s="11">
        <f>IF($A27="","",F27+H27)</f>
        <v/>
      </c>
      <c r="L27" s="13">
        <f>IF($A27="","",J27)</f>
        <v/>
      </c>
      <c r="M27" s="13">
        <f>IF($A27="","",K27/B27)</f>
        <v/>
      </c>
      <c r="N27" s="13">
        <f>IF($A27="","",L27-M27)</f>
        <v/>
      </c>
      <c r="O27" s="13">
        <f>IF($A27="","",L27-'Inputs'!$B$7)</f>
        <v/>
      </c>
      <c r="P27" s="11">
        <f>IF($A27="","",L27*B27-K27)</f>
        <v/>
      </c>
      <c r="Q27" s="12">
        <f>IF($A27="","",IF(J27*B27=0,0,K27/(J27*B27)))</f>
        <v/>
      </c>
      <c r="R27" s="6">
        <f>IF($A27="","",L27/'Inputs'!$B$7)</f>
        <v/>
      </c>
      <c r="S27" s="11">
        <f>IF($A27="","",IF(K27=0,0,K27/(J27*'Inputs'!$B$10)))</f>
        <v/>
      </c>
      <c r="T27" s="11">
        <f>IF($A27="","",IF(K27=0,0,K27/(J27*'Inputs'!$B$11)))</f>
        <v/>
      </c>
      <c r="U27" s="12">
        <f>IF($A27="","",IF(T27&lt;=0,0,1-T27/B27))</f>
        <v/>
      </c>
      <c r="V27" s="6">
        <f>IF($A27="","",IF(Q27=0,"SAFE",IF(Q27&gt;='Inputs'!$B$11,"LIQUIDATED",IF(Q27&gt;='Inputs'!$B$10,"MARGIN CALL",IF(OR(Q27&gt;='Inputs'!$B$23,U27&lt;'Inputs'!$B$12),"WARNING","SAFE")))))</f>
        <v/>
      </c>
    </row>
    <row r="28">
      <c r="A28" s="6">
        <f>'Price Projection'!A28</f>
        <v/>
      </c>
      <c r="B28" s="11">
        <f>IF($A28="","",'Price Projection'!B28)</f>
        <v/>
      </c>
      <c r="C28" s="13">
        <f>IF($A28="","",J27)</f>
        <v/>
      </c>
      <c r="D28" s="11">
        <f>IF($A28="","",K27)</f>
        <v/>
      </c>
      <c r="E28" s="11">
        <f>IF($A28="","",D28*'Inputs'!$B$8)</f>
        <v/>
      </c>
      <c r="F28" s="11">
        <f>IF($A28="","",IF('Inputs'!$B$9="capitalized",D28+E28,D28))</f>
        <v/>
      </c>
      <c r="G28" s="12">
        <f>IF($A28="","",IF(C28*B28=0,0,F28/(C28*B28)))</f>
        <v/>
      </c>
      <c r="H28" s="11">
        <f>IF($A28="","",IF(G28&gt;='Inputs'!$B$10,0,MAX(0,(MIN('Inputs'!$B$14,'Inputs'!$B$15,'Inputs'!$B$11*(1-'Inputs'!$B$12))*C28*B28-F28)/(1-MIN('Inputs'!$B$14,'Inputs'!$B$15,'Inputs'!$B$11*(1-'Inputs'!$B$12))))))</f>
        <v/>
      </c>
      <c r="I28" s="13">
        <f>IF($A28="","",H28/B28)</f>
        <v/>
      </c>
      <c r="J28" s="13">
        <f>IF($A28="","",C28+I28)</f>
        <v/>
      </c>
      <c r="K28" s="11">
        <f>IF($A28="","",F28+H28)</f>
        <v/>
      </c>
      <c r="L28" s="13">
        <f>IF($A28="","",J28)</f>
        <v/>
      </c>
      <c r="M28" s="13">
        <f>IF($A28="","",K28/B28)</f>
        <v/>
      </c>
      <c r="N28" s="13">
        <f>IF($A28="","",L28-M28)</f>
        <v/>
      </c>
      <c r="O28" s="13">
        <f>IF($A28="","",L28-'Inputs'!$B$7)</f>
        <v/>
      </c>
      <c r="P28" s="11">
        <f>IF($A28="","",L28*B28-K28)</f>
        <v/>
      </c>
      <c r="Q28" s="12">
        <f>IF($A28="","",IF(J28*B28=0,0,K28/(J28*B28)))</f>
        <v/>
      </c>
      <c r="R28" s="6">
        <f>IF($A28="","",L28/'Inputs'!$B$7)</f>
        <v/>
      </c>
      <c r="S28" s="11">
        <f>IF($A28="","",IF(K28=0,0,K28/(J28*'Inputs'!$B$10)))</f>
        <v/>
      </c>
      <c r="T28" s="11">
        <f>IF($A28="","",IF(K28=0,0,K28/(J28*'Inputs'!$B$11)))</f>
        <v/>
      </c>
      <c r="U28" s="12">
        <f>IF($A28="","",IF(T28&lt;=0,0,1-T28/B28))</f>
        <v/>
      </c>
      <c r="V28" s="6">
        <f>IF($A28="","",IF(Q28=0,"SAFE",IF(Q28&gt;='Inputs'!$B$11,"LIQUIDATED",IF(Q28&gt;='Inputs'!$B$10,"MARGIN CALL",IF(OR(Q28&gt;='Inputs'!$B$23,U28&lt;'Inputs'!$B$12),"WARNING","SAFE")))))</f>
        <v/>
      </c>
    </row>
    <row r="29">
      <c r="A29" s="6">
        <f>'Price Projection'!A29</f>
        <v/>
      </c>
      <c r="B29" s="11">
        <f>IF($A29="","",'Price Projection'!B29)</f>
        <v/>
      </c>
      <c r="C29" s="13">
        <f>IF($A29="","",J28)</f>
        <v/>
      </c>
      <c r="D29" s="11">
        <f>IF($A29="","",K28)</f>
        <v/>
      </c>
      <c r="E29" s="11">
        <f>IF($A29="","",D29*'Inputs'!$B$8)</f>
        <v/>
      </c>
      <c r="F29" s="11">
        <f>IF($A29="","",IF('Inputs'!$B$9="capitalized",D29+E29,D29))</f>
        <v/>
      </c>
      <c r="G29" s="12">
        <f>IF($A29="","",IF(C29*B29=0,0,F29/(C29*B29)))</f>
        <v/>
      </c>
      <c r="H29" s="11">
        <f>IF($A29="","",IF(G29&gt;='Inputs'!$B$10,0,MAX(0,(MIN('Inputs'!$B$14,'Inputs'!$B$15,'Inputs'!$B$11*(1-'Inputs'!$B$12))*C29*B29-F29)/(1-MIN('Inputs'!$B$14,'Inputs'!$B$15,'Inputs'!$B$11*(1-'Inputs'!$B$12))))))</f>
        <v/>
      </c>
      <c r="I29" s="13">
        <f>IF($A29="","",H29/B29)</f>
        <v/>
      </c>
      <c r="J29" s="13">
        <f>IF($A29="","",C29+I29)</f>
        <v/>
      </c>
      <c r="K29" s="11">
        <f>IF($A29="","",F29+H29)</f>
        <v/>
      </c>
      <c r="L29" s="13">
        <f>IF($A29="","",J29)</f>
        <v/>
      </c>
      <c r="M29" s="13">
        <f>IF($A29="","",K29/B29)</f>
        <v/>
      </c>
      <c r="N29" s="13">
        <f>IF($A29="","",L29-M29)</f>
        <v/>
      </c>
      <c r="O29" s="13">
        <f>IF($A29="","",L29-'Inputs'!$B$7)</f>
        <v/>
      </c>
      <c r="P29" s="11">
        <f>IF($A29="","",L29*B29-K29)</f>
        <v/>
      </c>
      <c r="Q29" s="12">
        <f>IF($A29="","",IF(J29*B29=0,0,K29/(J29*B29)))</f>
        <v/>
      </c>
      <c r="R29" s="6">
        <f>IF($A29="","",L29/'Inputs'!$B$7)</f>
        <v/>
      </c>
      <c r="S29" s="11">
        <f>IF($A29="","",IF(K29=0,0,K29/(J29*'Inputs'!$B$10)))</f>
        <v/>
      </c>
      <c r="T29" s="11">
        <f>IF($A29="","",IF(K29=0,0,K29/(J29*'Inputs'!$B$11)))</f>
        <v/>
      </c>
      <c r="U29" s="12">
        <f>IF($A29="","",IF(T29&lt;=0,0,1-T29/B29))</f>
        <v/>
      </c>
      <c r="V29" s="6">
        <f>IF($A29="","",IF(Q29=0,"SAFE",IF(Q29&gt;='Inputs'!$B$11,"LIQUIDATED",IF(Q29&gt;='Inputs'!$B$10,"MARGIN CALL",IF(OR(Q29&gt;='Inputs'!$B$23,U29&lt;'Inputs'!$B$12),"WARNING","SAFE")))))</f>
        <v/>
      </c>
    </row>
    <row r="30">
      <c r="A30" s="6">
        <f>'Price Projection'!A30</f>
        <v/>
      </c>
      <c r="B30" s="11">
        <f>IF($A30="","",'Price Projection'!B30)</f>
        <v/>
      </c>
      <c r="C30" s="13">
        <f>IF($A30="","",J29)</f>
        <v/>
      </c>
      <c r="D30" s="11">
        <f>IF($A30="","",K29)</f>
        <v/>
      </c>
      <c r="E30" s="11">
        <f>IF($A30="","",D30*'Inputs'!$B$8)</f>
        <v/>
      </c>
      <c r="F30" s="11">
        <f>IF($A30="","",IF('Inputs'!$B$9="capitalized",D30+E30,D30))</f>
        <v/>
      </c>
      <c r="G30" s="12">
        <f>IF($A30="","",IF(C30*B30=0,0,F30/(C30*B30)))</f>
        <v/>
      </c>
      <c r="H30" s="11">
        <f>IF($A30="","",IF(G30&gt;='Inputs'!$B$10,0,MAX(0,(MIN('Inputs'!$B$14,'Inputs'!$B$15,'Inputs'!$B$11*(1-'Inputs'!$B$12))*C30*B30-F30)/(1-MIN('Inputs'!$B$14,'Inputs'!$B$15,'Inputs'!$B$11*(1-'Inputs'!$B$12))))))</f>
        <v/>
      </c>
      <c r="I30" s="13">
        <f>IF($A30="","",H30/B30)</f>
        <v/>
      </c>
      <c r="J30" s="13">
        <f>IF($A30="","",C30+I30)</f>
        <v/>
      </c>
      <c r="K30" s="11">
        <f>IF($A30="","",F30+H30)</f>
        <v/>
      </c>
      <c r="L30" s="13">
        <f>IF($A30="","",J30)</f>
        <v/>
      </c>
      <c r="M30" s="13">
        <f>IF($A30="","",K30/B30)</f>
        <v/>
      </c>
      <c r="N30" s="13">
        <f>IF($A30="","",L30-M30)</f>
        <v/>
      </c>
      <c r="O30" s="13">
        <f>IF($A30="","",L30-'Inputs'!$B$7)</f>
        <v/>
      </c>
      <c r="P30" s="11">
        <f>IF($A30="","",L30*B30-K30)</f>
        <v/>
      </c>
      <c r="Q30" s="12">
        <f>IF($A30="","",IF(J30*B30=0,0,K30/(J30*B30)))</f>
        <v/>
      </c>
      <c r="R30" s="6">
        <f>IF($A30="","",L30/'Inputs'!$B$7)</f>
        <v/>
      </c>
      <c r="S30" s="11">
        <f>IF($A30="","",IF(K30=0,0,K30/(J30*'Inputs'!$B$10)))</f>
        <v/>
      </c>
      <c r="T30" s="11">
        <f>IF($A30="","",IF(K30=0,0,K30/(J30*'Inputs'!$B$11)))</f>
        <v/>
      </c>
      <c r="U30" s="12">
        <f>IF($A30="","",IF(T30&lt;=0,0,1-T30/B30))</f>
        <v/>
      </c>
      <c r="V30" s="6">
        <f>IF($A30="","",IF(Q30=0,"SAFE",IF(Q30&gt;='Inputs'!$B$11,"LIQUIDATED",IF(Q30&gt;='Inputs'!$B$10,"MARGIN CALL",IF(OR(Q30&gt;='Inputs'!$B$23,U30&lt;'Inputs'!$B$12),"WARNING","SAFE")))))</f>
        <v/>
      </c>
    </row>
    <row r="31">
      <c r="A31" s="6">
        <f>'Price Projection'!A31</f>
        <v/>
      </c>
      <c r="B31" s="11">
        <f>IF($A31="","",'Price Projection'!B31)</f>
        <v/>
      </c>
      <c r="C31" s="13">
        <f>IF($A31="","",J30)</f>
        <v/>
      </c>
      <c r="D31" s="11">
        <f>IF($A31="","",K30)</f>
        <v/>
      </c>
      <c r="E31" s="11">
        <f>IF($A31="","",D31*'Inputs'!$B$8)</f>
        <v/>
      </c>
      <c r="F31" s="11">
        <f>IF($A31="","",IF('Inputs'!$B$9="capitalized",D31+E31,D31))</f>
        <v/>
      </c>
      <c r="G31" s="12">
        <f>IF($A31="","",IF(C31*B31=0,0,F31/(C31*B31)))</f>
        <v/>
      </c>
      <c r="H31" s="11">
        <f>IF($A31="","",IF(G31&gt;='Inputs'!$B$10,0,MAX(0,(MIN('Inputs'!$B$14,'Inputs'!$B$15,'Inputs'!$B$11*(1-'Inputs'!$B$12))*C31*B31-F31)/(1-MIN('Inputs'!$B$14,'Inputs'!$B$15,'Inputs'!$B$11*(1-'Inputs'!$B$12))))))</f>
        <v/>
      </c>
      <c r="I31" s="13">
        <f>IF($A31="","",H31/B31)</f>
        <v/>
      </c>
      <c r="J31" s="13">
        <f>IF($A31="","",C31+I31)</f>
        <v/>
      </c>
      <c r="K31" s="11">
        <f>IF($A31="","",F31+H31)</f>
        <v/>
      </c>
      <c r="L31" s="13">
        <f>IF($A31="","",J31)</f>
        <v/>
      </c>
      <c r="M31" s="13">
        <f>IF($A31="","",K31/B31)</f>
        <v/>
      </c>
      <c r="N31" s="13">
        <f>IF($A31="","",L31-M31)</f>
        <v/>
      </c>
      <c r="O31" s="13">
        <f>IF($A31="","",L31-'Inputs'!$B$7)</f>
        <v/>
      </c>
      <c r="P31" s="11">
        <f>IF($A31="","",L31*B31-K31)</f>
        <v/>
      </c>
      <c r="Q31" s="12">
        <f>IF($A31="","",IF(J31*B31=0,0,K31/(J31*B31)))</f>
        <v/>
      </c>
      <c r="R31" s="6">
        <f>IF($A31="","",L31/'Inputs'!$B$7)</f>
        <v/>
      </c>
      <c r="S31" s="11">
        <f>IF($A31="","",IF(K31=0,0,K31/(J31*'Inputs'!$B$10)))</f>
        <v/>
      </c>
      <c r="T31" s="11">
        <f>IF($A31="","",IF(K31=0,0,K31/(J31*'Inputs'!$B$11)))</f>
        <v/>
      </c>
      <c r="U31" s="12">
        <f>IF($A31="","",IF(T31&lt;=0,0,1-T31/B31))</f>
        <v/>
      </c>
      <c r="V31" s="6">
        <f>IF($A31="","",IF(Q31=0,"SAFE",IF(Q31&gt;='Inputs'!$B$11,"LIQUIDATED",IF(Q31&gt;='Inputs'!$B$10,"MARGIN CALL",IF(OR(Q31&gt;='Inputs'!$B$23,U31&lt;'Inputs'!$B$12),"WARNING","SAFE")))))</f>
        <v/>
      </c>
    </row>
    <row r="32">
      <c r="A32" s="6">
        <f>'Price Projection'!A32</f>
        <v/>
      </c>
      <c r="B32" s="11">
        <f>IF($A32="","",'Price Projection'!B32)</f>
        <v/>
      </c>
      <c r="C32" s="13">
        <f>IF($A32="","",J31)</f>
        <v/>
      </c>
      <c r="D32" s="11">
        <f>IF($A32="","",K31)</f>
        <v/>
      </c>
      <c r="E32" s="11">
        <f>IF($A32="","",D32*'Inputs'!$B$8)</f>
        <v/>
      </c>
      <c r="F32" s="11">
        <f>IF($A32="","",IF('Inputs'!$B$9="capitalized",D32+E32,D32))</f>
        <v/>
      </c>
      <c r="G32" s="12">
        <f>IF($A32="","",IF(C32*B32=0,0,F32/(C32*B32)))</f>
        <v/>
      </c>
      <c r="H32" s="11">
        <f>IF($A32="","",IF(G32&gt;='Inputs'!$B$10,0,MAX(0,(MIN('Inputs'!$B$14,'Inputs'!$B$15,'Inputs'!$B$11*(1-'Inputs'!$B$12))*C32*B32-F32)/(1-MIN('Inputs'!$B$14,'Inputs'!$B$15,'Inputs'!$B$11*(1-'Inputs'!$B$12))))))</f>
        <v/>
      </c>
      <c r="I32" s="13">
        <f>IF($A32="","",H32/B32)</f>
        <v/>
      </c>
      <c r="J32" s="13">
        <f>IF($A32="","",C32+I32)</f>
        <v/>
      </c>
      <c r="K32" s="11">
        <f>IF($A32="","",F32+H32)</f>
        <v/>
      </c>
      <c r="L32" s="13">
        <f>IF($A32="","",J32)</f>
        <v/>
      </c>
      <c r="M32" s="13">
        <f>IF($A32="","",K32/B32)</f>
        <v/>
      </c>
      <c r="N32" s="13">
        <f>IF($A32="","",L32-M32)</f>
        <v/>
      </c>
      <c r="O32" s="13">
        <f>IF($A32="","",L32-'Inputs'!$B$7)</f>
        <v/>
      </c>
      <c r="P32" s="11">
        <f>IF($A32="","",L32*B32-K32)</f>
        <v/>
      </c>
      <c r="Q32" s="12">
        <f>IF($A32="","",IF(J32*B32=0,0,K32/(J32*B32)))</f>
        <v/>
      </c>
      <c r="R32" s="6">
        <f>IF($A32="","",L32/'Inputs'!$B$7)</f>
        <v/>
      </c>
      <c r="S32" s="11">
        <f>IF($A32="","",IF(K32=0,0,K32/(J32*'Inputs'!$B$10)))</f>
        <v/>
      </c>
      <c r="T32" s="11">
        <f>IF($A32="","",IF(K32=0,0,K32/(J32*'Inputs'!$B$11)))</f>
        <v/>
      </c>
      <c r="U32" s="12">
        <f>IF($A32="","",IF(T32&lt;=0,0,1-T32/B32))</f>
        <v/>
      </c>
      <c r="V32" s="6">
        <f>IF($A32="","",IF(Q32=0,"SAFE",IF(Q32&gt;='Inputs'!$B$11,"LIQUIDATED",IF(Q32&gt;='Inputs'!$B$10,"MARGIN CALL",IF(OR(Q32&gt;='Inputs'!$B$23,U32&lt;'Inputs'!$B$12),"WARNING","SAFE")))))</f>
        <v/>
      </c>
    </row>
    <row r="33">
      <c r="A33" s="6">
        <f>'Price Projection'!A33</f>
        <v/>
      </c>
      <c r="B33" s="11">
        <f>IF($A33="","",'Price Projection'!B33)</f>
        <v/>
      </c>
      <c r="C33" s="13">
        <f>IF($A33="","",J32)</f>
        <v/>
      </c>
      <c r="D33" s="11">
        <f>IF($A33="","",K32)</f>
        <v/>
      </c>
      <c r="E33" s="11">
        <f>IF($A33="","",D33*'Inputs'!$B$8)</f>
        <v/>
      </c>
      <c r="F33" s="11">
        <f>IF($A33="","",IF('Inputs'!$B$9="capitalized",D33+E33,D33))</f>
        <v/>
      </c>
      <c r="G33" s="12">
        <f>IF($A33="","",IF(C33*B33=0,0,F33/(C33*B33)))</f>
        <v/>
      </c>
      <c r="H33" s="11">
        <f>IF($A33="","",IF(G33&gt;='Inputs'!$B$10,0,MAX(0,(MIN('Inputs'!$B$14,'Inputs'!$B$15,'Inputs'!$B$11*(1-'Inputs'!$B$12))*C33*B33-F33)/(1-MIN('Inputs'!$B$14,'Inputs'!$B$15,'Inputs'!$B$11*(1-'Inputs'!$B$12))))))</f>
        <v/>
      </c>
      <c r="I33" s="13">
        <f>IF($A33="","",H33/B33)</f>
        <v/>
      </c>
      <c r="J33" s="13">
        <f>IF($A33="","",C33+I33)</f>
        <v/>
      </c>
      <c r="K33" s="11">
        <f>IF($A33="","",F33+H33)</f>
        <v/>
      </c>
      <c r="L33" s="13">
        <f>IF($A33="","",J33)</f>
        <v/>
      </c>
      <c r="M33" s="13">
        <f>IF($A33="","",K33/B33)</f>
        <v/>
      </c>
      <c r="N33" s="13">
        <f>IF($A33="","",L33-M33)</f>
        <v/>
      </c>
      <c r="O33" s="13">
        <f>IF($A33="","",L33-'Inputs'!$B$7)</f>
        <v/>
      </c>
      <c r="P33" s="11">
        <f>IF($A33="","",L33*B33-K33)</f>
        <v/>
      </c>
      <c r="Q33" s="12">
        <f>IF($A33="","",IF(J33*B33=0,0,K33/(J33*B33)))</f>
        <v/>
      </c>
      <c r="R33" s="6">
        <f>IF($A33="","",L33/'Inputs'!$B$7)</f>
        <v/>
      </c>
      <c r="S33" s="11">
        <f>IF($A33="","",IF(K33=0,0,K33/(J33*'Inputs'!$B$10)))</f>
        <v/>
      </c>
      <c r="T33" s="11">
        <f>IF($A33="","",IF(K33=0,0,K33/(J33*'Inputs'!$B$11)))</f>
        <v/>
      </c>
      <c r="U33" s="12">
        <f>IF($A33="","",IF(T33&lt;=0,0,1-T33/B33))</f>
        <v/>
      </c>
      <c r="V33" s="6">
        <f>IF($A33="","",IF(Q33=0,"SAFE",IF(Q33&gt;='Inputs'!$B$11,"LIQUIDATED",IF(Q33&gt;='Inputs'!$B$10,"MARGIN CALL",IF(OR(Q33&gt;='Inputs'!$B$23,U33&lt;'Inputs'!$B$12),"WARNING","SAFE")))))</f>
        <v/>
      </c>
    </row>
    <row r="34">
      <c r="A34" s="6">
        <f>'Price Projection'!A34</f>
        <v/>
      </c>
      <c r="B34" s="11">
        <f>IF($A34="","",'Price Projection'!B34)</f>
        <v/>
      </c>
      <c r="C34" s="13">
        <f>IF($A34="","",J33)</f>
        <v/>
      </c>
      <c r="D34" s="11">
        <f>IF($A34="","",K33)</f>
        <v/>
      </c>
      <c r="E34" s="11">
        <f>IF($A34="","",D34*'Inputs'!$B$8)</f>
        <v/>
      </c>
      <c r="F34" s="11">
        <f>IF($A34="","",IF('Inputs'!$B$9="capitalized",D34+E34,D34))</f>
        <v/>
      </c>
      <c r="G34" s="12">
        <f>IF($A34="","",IF(C34*B34=0,0,F34/(C34*B34)))</f>
        <v/>
      </c>
      <c r="H34" s="11">
        <f>IF($A34="","",IF(G34&gt;='Inputs'!$B$10,0,MAX(0,(MIN('Inputs'!$B$14,'Inputs'!$B$15,'Inputs'!$B$11*(1-'Inputs'!$B$12))*C34*B34-F34)/(1-MIN('Inputs'!$B$14,'Inputs'!$B$15,'Inputs'!$B$11*(1-'Inputs'!$B$12))))))</f>
        <v/>
      </c>
      <c r="I34" s="13">
        <f>IF($A34="","",H34/B34)</f>
        <v/>
      </c>
      <c r="J34" s="13">
        <f>IF($A34="","",C34+I34)</f>
        <v/>
      </c>
      <c r="K34" s="11">
        <f>IF($A34="","",F34+H34)</f>
        <v/>
      </c>
      <c r="L34" s="13">
        <f>IF($A34="","",J34)</f>
        <v/>
      </c>
      <c r="M34" s="13">
        <f>IF($A34="","",K34/B34)</f>
        <v/>
      </c>
      <c r="N34" s="13">
        <f>IF($A34="","",L34-M34)</f>
        <v/>
      </c>
      <c r="O34" s="13">
        <f>IF($A34="","",L34-'Inputs'!$B$7)</f>
        <v/>
      </c>
      <c r="P34" s="11">
        <f>IF($A34="","",L34*B34-K34)</f>
        <v/>
      </c>
      <c r="Q34" s="12">
        <f>IF($A34="","",IF(J34*B34=0,0,K34/(J34*B34)))</f>
        <v/>
      </c>
      <c r="R34" s="6">
        <f>IF($A34="","",L34/'Inputs'!$B$7)</f>
        <v/>
      </c>
      <c r="S34" s="11">
        <f>IF($A34="","",IF(K34=0,0,K34/(J34*'Inputs'!$B$10)))</f>
        <v/>
      </c>
      <c r="T34" s="11">
        <f>IF($A34="","",IF(K34=0,0,K34/(J34*'Inputs'!$B$11)))</f>
        <v/>
      </c>
      <c r="U34" s="12">
        <f>IF($A34="","",IF(T34&lt;=0,0,1-T34/B34))</f>
        <v/>
      </c>
      <c r="V34" s="6">
        <f>IF($A34="","",IF(Q34=0,"SAFE",IF(Q34&gt;='Inputs'!$B$11,"LIQUIDATED",IF(Q34&gt;='Inputs'!$B$10,"MARGIN CALL",IF(OR(Q34&gt;='Inputs'!$B$23,U34&lt;'Inputs'!$B$12),"WARNING","SAFE")))))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4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1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5" customWidth="1" min="10" max="10"/>
    <col width="28" customWidth="1" min="11" max="11"/>
    <col width="25" customWidth="1" min="12" max="12"/>
    <col width="25" customWidth="1" min="13" max="13"/>
    <col width="25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Income Engine — Borrow-Funded Income</t>
        </is>
      </c>
    </row>
    <row r="2"/>
    <row r="3">
      <c r="A3" s="2" t="inlineStr">
        <is>
          <t>Year</t>
        </is>
      </c>
      <c r="B3" s="2" t="inlineStr">
        <is>
          <t>BTC Price</t>
        </is>
      </c>
      <c r="C3" s="2" t="inlineStr">
        <is>
          <t>Starting Collateral BTC</t>
        </is>
      </c>
      <c r="D3" s="2" t="inlineStr">
        <is>
          <t>Starting Debt</t>
        </is>
      </c>
      <c r="E3" s="2" t="inlineStr">
        <is>
          <t>Interest Accrued</t>
        </is>
      </c>
      <c r="F3" s="2" t="inlineStr">
        <is>
          <t>Debt After Interest</t>
        </is>
      </c>
      <c r="G3" s="2" t="inlineStr">
        <is>
          <t>Selected Income Draw</t>
        </is>
      </c>
      <c r="H3" s="2" t="inlineStr">
        <is>
          <t>Max Available Annual Income</t>
        </is>
      </c>
      <c r="I3" s="2" t="inlineStr">
        <is>
          <t>Income Borrowed</t>
        </is>
      </c>
      <c r="J3" s="2" t="inlineStr">
        <is>
          <t>Unfunded Income</t>
        </is>
      </c>
      <c r="K3" s="2" t="inlineStr">
        <is>
          <t>Cumulative Income Borrowed</t>
        </is>
      </c>
      <c r="L3" s="2" t="inlineStr">
        <is>
          <t>Ending Debt</t>
        </is>
      </c>
      <c r="M3" s="2" t="inlineStr">
        <is>
          <t>Debt BTC Equivalent</t>
        </is>
      </c>
      <c r="N3" s="2" t="inlineStr">
        <is>
          <t>Net BTC After Debt</t>
        </is>
      </c>
      <c r="O3" s="2" t="inlineStr">
        <is>
          <t>Net Equity USD</t>
        </is>
      </c>
      <c r="P3" s="2" t="inlineStr">
        <is>
          <t>Effective LTV End</t>
        </is>
      </c>
      <c r="Q3" s="2" t="inlineStr">
        <is>
          <t>Margin-Call Price</t>
        </is>
      </c>
      <c r="R3" s="2" t="inlineStr">
        <is>
          <t>Liquidation Price</t>
        </is>
      </c>
      <c r="S3" s="2" t="inlineStr">
        <is>
          <t>Drop to Liquidation</t>
        </is>
      </c>
      <c r="T3" s="2" t="inlineStr">
        <is>
          <t>Sustainability Status</t>
        </is>
      </c>
    </row>
    <row r="4">
      <c r="A4" s="6">
        <f>'Price Projection'!A4</f>
        <v/>
      </c>
      <c r="B4" s="11">
        <f>IF($A4="","",'Price Projection'!B4)</f>
        <v/>
      </c>
      <c r="C4" s="13">
        <f>IF($A4="","",'Inputs'!$B$7)</f>
        <v/>
      </c>
      <c r="D4" s="11">
        <f>IF($A4="","",0)</f>
        <v/>
      </c>
      <c r="E4" s="11">
        <f>IF($A4="","",0)</f>
        <v/>
      </c>
      <c r="F4" s="11">
        <f>IF($A4="","",D4+E4)</f>
        <v/>
      </c>
      <c r="G4" s="11">
        <f>IF($A4="","",0)</f>
        <v/>
      </c>
      <c r="H4" s="11">
        <f>IF($A4="","",MAX(0,MIN(C4*B4*'Inputs'!$B$20,C4*B4*'Inputs'!$B$11*(1-'Inputs'!$B$12))-F4))</f>
        <v/>
      </c>
      <c r="I4" s="11">
        <f>IF($A4="","",IF(IF(C4*B4=0,0,F4/(C4*B4))&gt;='Inputs'!$B$10,0,MIN(G4,H4)))</f>
        <v/>
      </c>
      <c r="J4" s="11">
        <f>IF($A4="","",G4-I4)</f>
        <v/>
      </c>
      <c r="K4" s="11">
        <f>IF($A4="","",I4)</f>
        <v/>
      </c>
      <c r="L4" s="11">
        <f>IF($A4="","",F4+I4)</f>
        <v/>
      </c>
      <c r="M4" s="13">
        <f>IF($A4="","",L4/B4)</f>
        <v/>
      </c>
      <c r="N4" s="13">
        <f>IF($A4="","",C4-M4)</f>
        <v/>
      </c>
      <c r="O4" s="11">
        <f>IF($A4="","",C4*B4-L4)</f>
        <v/>
      </c>
      <c r="P4" s="12">
        <f>IF($A4="","",IF(C4*B4=0,0,L4/(C4*B4)))</f>
        <v/>
      </c>
      <c r="Q4" s="11">
        <f>IF($A4="","",IF(L4=0,0,L4/(C4*'Inputs'!$B$10)))</f>
        <v/>
      </c>
      <c r="R4" s="11">
        <f>IF($A4="","",IF(L4=0,0,L4/(C4*'Inputs'!$B$11)))</f>
        <v/>
      </c>
      <c r="S4" s="12">
        <f>IF($A4="","",IF(R4&lt;=0,0,1-R4/B4))</f>
        <v/>
      </c>
      <c r="T4" s="6">
        <f>IF($A4="","",IF(P4&gt;='Inputs'!$B$11,"LIQUIDATED",IF(P4&gt;='Inputs'!$B$10,"MARGIN CALL",IF(OR(P4&gt;='Inputs'!$B$23,S4&lt;'Inputs'!$B$12),"WARNING",IF(AND(G4&gt;0,I4=0),"FAILED",IF(I4&lt;G4,"CONSTRAINED","SAFE"))))))</f>
        <v/>
      </c>
    </row>
    <row r="5">
      <c r="A5" s="6">
        <f>'Price Projection'!A5</f>
        <v/>
      </c>
      <c r="B5" s="11">
        <f>IF($A5="","",'Price Projection'!B5)</f>
        <v/>
      </c>
      <c r="C5" s="13">
        <f>IF($A5="","",'Inputs'!$B$7)</f>
        <v/>
      </c>
      <c r="D5" s="11">
        <f>IF($A5="","",L4)</f>
        <v/>
      </c>
      <c r="E5" s="11">
        <f>IF($A5="","",D5*'Inputs'!$B$8)</f>
        <v/>
      </c>
      <c r="F5" s="11">
        <f>IF($A5="","",IF('Inputs'!$B$9="capitalized",D5+E5,D5))</f>
        <v/>
      </c>
      <c r="G5" s="11">
        <f>IF($A5="","",'Inputs'!$B$19)</f>
        <v/>
      </c>
      <c r="H5" s="11">
        <f>IF($A5="","",MAX(0,MIN(C5*B5*'Inputs'!$B$20,C5*B5*'Inputs'!$B$11*(1-'Inputs'!$B$12))-F5))</f>
        <v/>
      </c>
      <c r="I5" s="11">
        <f>IF($A5="","",IF(IF(C5*B5=0,0,F5/(C5*B5))&gt;='Inputs'!$B$10,0,MIN(G5,H5)))</f>
        <v/>
      </c>
      <c r="J5" s="11">
        <f>IF($A5="","",G5-I5)</f>
        <v/>
      </c>
      <c r="K5" s="11">
        <f>IF($A5="","",K4+I5)</f>
        <v/>
      </c>
      <c r="L5" s="11">
        <f>IF($A5="","",F5+I5)</f>
        <v/>
      </c>
      <c r="M5" s="13">
        <f>IF($A5="","",L5/B5)</f>
        <v/>
      </c>
      <c r="N5" s="13">
        <f>IF($A5="","",C5-M5)</f>
        <v/>
      </c>
      <c r="O5" s="11">
        <f>IF($A5="","",C5*B5-L5)</f>
        <v/>
      </c>
      <c r="P5" s="12">
        <f>IF($A5="","",IF(C5*B5=0,0,L5/(C5*B5)))</f>
        <v/>
      </c>
      <c r="Q5" s="11">
        <f>IF($A5="","",IF(L5=0,0,L5/(C5*'Inputs'!$B$10)))</f>
        <v/>
      </c>
      <c r="R5" s="11">
        <f>IF($A5="","",IF(L5=0,0,L5/(C5*'Inputs'!$B$11)))</f>
        <v/>
      </c>
      <c r="S5" s="12">
        <f>IF($A5="","",IF(R5&lt;=0,0,1-R5/B5))</f>
        <v/>
      </c>
      <c r="T5" s="6">
        <f>IF($A5="","",IF(P5&gt;='Inputs'!$B$11,"LIQUIDATED",IF(P5&gt;='Inputs'!$B$10,"MARGIN CALL",IF(OR(P5&gt;='Inputs'!$B$23,S5&lt;'Inputs'!$B$12),"WARNING",IF(AND(G5&gt;0,I5=0),"FAILED",IF(I5&lt;G5,"CONSTRAINED","SAFE"))))))</f>
        <v/>
      </c>
    </row>
    <row r="6">
      <c r="A6" s="6">
        <f>'Price Projection'!A6</f>
        <v/>
      </c>
      <c r="B6" s="11">
        <f>IF($A6="","",'Price Projection'!B6)</f>
        <v/>
      </c>
      <c r="C6" s="13">
        <f>IF($A6="","",'Inputs'!$B$7)</f>
        <v/>
      </c>
      <c r="D6" s="11">
        <f>IF($A6="","",L5)</f>
        <v/>
      </c>
      <c r="E6" s="11">
        <f>IF($A6="","",D6*'Inputs'!$B$8)</f>
        <v/>
      </c>
      <c r="F6" s="11">
        <f>IF($A6="","",IF('Inputs'!$B$9="capitalized",D6+E6,D6))</f>
        <v/>
      </c>
      <c r="G6" s="11">
        <f>IF($A6="","",'Inputs'!$B$19)</f>
        <v/>
      </c>
      <c r="H6" s="11">
        <f>IF($A6="","",MAX(0,MIN(C6*B6*'Inputs'!$B$20,C6*B6*'Inputs'!$B$11*(1-'Inputs'!$B$12))-F6))</f>
        <v/>
      </c>
      <c r="I6" s="11">
        <f>IF($A6="","",IF(IF(C6*B6=0,0,F6/(C6*B6))&gt;='Inputs'!$B$10,0,MIN(G6,H6)))</f>
        <v/>
      </c>
      <c r="J6" s="11">
        <f>IF($A6="","",G6-I6)</f>
        <v/>
      </c>
      <c r="K6" s="11">
        <f>IF($A6="","",K5+I6)</f>
        <v/>
      </c>
      <c r="L6" s="11">
        <f>IF($A6="","",F6+I6)</f>
        <v/>
      </c>
      <c r="M6" s="13">
        <f>IF($A6="","",L6/B6)</f>
        <v/>
      </c>
      <c r="N6" s="13">
        <f>IF($A6="","",C6-M6)</f>
        <v/>
      </c>
      <c r="O6" s="11">
        <f>IF($A6="","",C6*B6-L6)</f>
        <v/>
      </c>
      <c r="P6" s="12">
        <f>IF($A6="","",IF(C6*B6=0,0,L6/(C6*B6)))</f>
        <v/>
      </c>
      <c r="Q6" s="11">
        <f>IF($A6="","",IF(L6=0,0,L6/(C6*'Inputs'!$B$10)))</f>
        <v/>
      </c>
      <c r="R6" s="11">
        <f>IF($A6="","",IF(L6=0,0,L6/(C6*'Inputs'!$B$11)))</f>
        <v/>
      </c>
      <c r="S6" s="12">
        <f>IF($A6="","",IF(R6&lt;=0,0,1-R6/B6))</f>
        <v/>
      </c>
      <c r="T6" s="6">
        <f>IF($A6="","",IF(P6&gt;='Inputs'!$B$11,"LIQUIDATED",IF(P6&gt;='Inputs'!$B$10,"MARGIN CALL",IF(OR(P6&gt;='Inputs'!$B$23,S6&lt;'Inputs'!$B$12),"WARNING",IF(AND(G6&gt;0,I6=0),"FAILED",IF(I6&lt;G6,"CONSTRAINED","SAFE"))))))</f>
        <v/>
      </c>
    </row>
    <row r="7">
      <c r="A7" s="6">
        <f>'Price Projection'!A7</f>
        <v/>
      </c>
      <c r="B7" s="11">
        <f>IF($A7="","",'Price Projection'!B7)</f>
        <v/>
      </c>
      <c r="C7" s="13">
        <f>IF($A7="","",'Inputs'!$B$7)</f>
        <v/>
      </c>
      <c r="D7" s="11">
        <f>IF($A7="","",L6)</f>
        <v/>
      </c>
      <c r="E7" s="11">
        <f>IF($A7="","",D7*'Inputs'!$B$8)</f>
        <v/>
      </c>
      <c r="F7" s="11">
        <f>IF($A7="","",IF('Inputs'!$B$9="capitalized",D7+E7,D7))</f>
        <v/>
      </c>
      <c r="G7" s="11">
        <f>IF($A7="","",'Inputs'!$B$19)</f>
        <v/>
      </c>
      <c r="H7" s="11">
        <f>IF($A7="","",MAX(0,MIN(C7*B7*'Inputs'!$B$20,C7*B7*'Inputs'!$B$11*(1-'Inputs'!$B$12))-F7))</f>
        <v/>
      </c>
      <c r="I7" s="11">
        <f>IF($A7="","",IF(IF(C7*B7=0,0,F7/(C7*B7))&gt;='Inputs'!$B$10,0,MIN(G7,H7)))</f>
        <v/>
      </c>
      <c r="J7" s="11">
        <f>IF($A7="","",G7-I7)</f>
        <v/>
      </c>
      <c r="K7" s="11">
        <f>IF($A7="","",K6+I7)</f>
        <v/>
      </c>
      <c r="L7" s="11">
        <f>IF($A7="","",F7+I7)</f>
        <v/>
      </c>
      <c r="M7" s="13">
        <f>IF($A7="","",L7/B7)</f>
        <v/>
      </c>
      <c r="N7" s="13">
        <f>IF($A7="","",C7-M7)</f>
        <v/>
      </c>
      <c r="O7" s="11">
        <f>IF($A7="","",C7*B7-L7)</f>
        <v/>
      </c>
      <c r="P7" s="12">
        <f>IF($A7="","",IF(C7*B7=0,0,L7/(C7*B7)))</f>
        <v/>
      </c>
      <c r="Q7" s="11">
        <f>IF($A7="","",IF(L7=0,0,L7/(C7*'Inputs'!$B$10)))</f>
        <v/>
      </c>
      <c r="R7" s="11">
        <f>IF($A7="","",IF(L7=0,0,L7/(C7*'Inputs'!$B$11)))</f>
        <v/>
      </c>
      <c r="S7" s="12">
        <f>IF($A7="","",IF(R7&lt;=0,0,1-R7/B7))</f>
        <v/>
      </c>
      <c r="T7" s="6">
        <f>IF($A7="","",IF(P7&gt;='Inputs'!$B$11,"LIQUIDATED",IF(P7&gt;='Inputs'!$B$10,"MARGIN CALL",IF(OR(P7&gt;='Inputs'!$B$23,S7&lt;'Inputs'!$B$12),"WARNING",IF(AND(G7&gt;0,I7=0),"FAILED",IF(I7&lt;G7,"CONSTRAINED","SAFE"))))))</f>
        <v/>
      </c>
    </row>
    <row r="8">
      <c r="A8" s="6">
        <f>'Price Projection'!A8</f>
        <v/>
      </c>
      <c r="B8" s="11">
        <f>IF($A8="","",'Price Projection'!B8)</f>
        <v/>
      </c>
      <c r="C8" s="13">
        <f>IF($A8="","",'Inputs'!$B$7)</f>
        <v/>
      </c>
      <c r="D8" s="11">
        <f>IF($A8="","",L7)</f>
        <v/>
      </c>
      <c r="E8" s="11">
        <f>IF($A8="","",D8*'Inputs'!$B$8)</f>
        <v/>
      </c>
      <c r="F8" s="11">
        <f>IF($A8="","",IF('Inputs'!$B$9="capitalized",D8+E8,D8))</f>
        <v/>
      </c>
      <c r="G8" s="11">
        <f>IF($A8="","",'Inputs'!$B$19)</f>
        <v/>
      </c>
      <c r="H8" s="11">
        <f>IF($A8="","",MAX(0,MIN(C8*B8*'Inputs'!$B$20,C8*B8*'Inputs'!$B$11*(1-'Inputs'!$B$12))-F8))</f>
        <v/>
      </c>
      <c r="I8" s="11">
        <f>IF($A8="","",IF(IF(C8*B8=0,0,F8/(C8*B8))&gt;='Inputs'!$B$10,0,MIN(G8,H8)))</f>
        <v/>
      </c>
      <c r="J8" s="11">
        <f>IF($A8="","",G8-I8)</f>
        <v/>
      </c>
      <c r="K8" s="11">
        <f>IF($A8="","",K7+I8)</f>
        <v/>
      </c>
      <c r="L8" s="11">
        <f>IF($A8="","",F8+I8)</f>
        <v/>
      </c>
      <c r="M8" s="13">
        <f>IF($A8="","",L8/B8)</f>
        <v/>
      </c>
      <c r="N8" s="13">
        <f>IF($A8="","",C8-M8)</f>
        <v/>
      </c>
      <c r="O8" s="11">
        <f>IF($A8="","",C8*B8-L8)</f>
        <v/>
      </c>
      <c r="P8" s="12">
        <f>IF($A8="","",IF(C8*B8=0,0,L8/(C8*B8)))</f>
        <v/>
      </c>
      <c r="Q8" s="11">
        <f>IF($A8="","",IF(L8=0,0,L8/(C8*'Inputs'!$B$10)))</f>
        <v/>
      </c>
      <c r="R8" s="11">
        <f>IF($A8="","",IF(L8=0,0,L8/(C8*'Inputs'!$B$11)))</f>
        <v/>
      </c>
      <c r="S8" s="12">
        <f>IF($A8="","",IF(R8&lt;=0,0,1-R8/B8))</f>
        <v/>
      </c>
      <c r="T8" s="6">
        <f>IF($A8="","",IF(P8&gt;='Inputs'!$B$11,"LIQUIDATED",IF(P8&gt;='Inputs'!$B$10,"MARGIN CALL",IF(OR(P8&gt;='Inputs'!$B$23,S8&lt;'Inputs'!$B$12),"WARNING",IF(AND(G8&gt;0,I8=0),"FAILED",IF(I8&lt;G8,"CONSTRAINED","SAFE"))))))</f>
        <v/>
      </c>
    </row>
    <row r="9">
      <c r="A9" s="6">
        <f>'Price Projection'!A9</f>
        <v/>
      </c>
      <c r="B9" s="11">
        <f>IF($A9="","",'Price Projection'!B9)</f>
        <v/>
      </c>
      <c r="C9" s="13">
        <f>IF($A9="","",'Inputs'!$B$7)</f>
        <v/>
      </c>
      <c r="D9" s="11">
        <f>IF($A9="","",L8)</f>
        <v/>
      </c>
      <c r="E9" s="11">
        <f>IF($A9="","",D9*'Inputs'!$B$8)</f>
        <v/>
      </c>
      <c r="F9" s="11">
        <f>IF($A9="","",IF('Inputs'!$B$9="capitalized",D9+E9,D9))</f>
        <v/>
      </c>
      <c r="G9" s="11">
        <f>IF($A9="","",'Inputs'!$B$19)</f>
        <v/>
      </c>
      <c r="H9" s="11">
        <f>IF($A9="","",MAX(0,MIN(C9*B9*'Inputs'!$B$20,C9*B9*'Inputs'!$B$11*(1-'Inputs'!$B$12))-F9))</f>
        <v/>
      </c>
      <c r="I9" s="11">
        <f>IF($A9="","",IF(IF(C9*B9=0,0,F9/(C9*B9))&gt;='Inputs'!$B$10,0,MIN(G9,H9)))</f>
        <v/>
      </c>
      <c r="J9" s="11">
        <f>IF($A9="","",G9-I9)</f>
        <v/>
      </c>
      <c r="K9" s="11">
        <f>IF($A9="","",K8+I9)</f>
        <v/>
      </c>
      <c r="L9" s="11">
        <f>IF($A9="","",F9+I9)</f>
        <v/>
      </c>
      <c r="M9" s="13">
        <f>IF($A9="","",L9/B9)</f>
        <v/>
      </c>
      <c r="N9" s="13">
        <f>IF($A9="","",C9-M9)</f>
        <v/>
      </c>
      <c r="O9" s="11">
        <f>IF($A9="","",C9*B9-L9)</f>
        <v/>
      </c>
      <c r="P9" s="12">
        <f>IF($A9="","",IF(C9*B9=0,0,L9/(C9*B9)))</f>
        <v/>
      </c>
      <c r="Q9" s="11">
        <f>IF($A9="","",IF(L9=0,0,L9/(C9*'Inputs'!$B$10)))</f>
        <v/>
      </c>
      <c r="R9" s="11">
        <f>IF($A9="","",IF(L9=0,0,L9/(C9*'Inputs'!$B$11)))</f>
        <v/>
      </c>
      <c r="S9" s="12">
        <f>IF($A9="","",IF(R9&lt;=0,0,1-R9/B9))</f>
        <v/>
      </c>
      <c r="T9" s="6">
        <f>IF($A9="","",IF(P9&gt;='Inputs'!$B$11,"LIQUIDATED",IF(P9&gt;='Inputs'!$B$10,"MARGIN CALL",IF(OR(P9&gt;='Inputs'!$B$23,S9&lt;'Inputs'!$B$12),"WARNING",IF(AND(G9&gt;0,I9=0),"FAILED",IF(I9&lt;G9,"CONSTRAINED","SAFE"))))))</f>
        <v/>
      </c>
    </row>
    <row r="10">
      <c r="A10" s="6">
        <f>'Price Projection'!A10</f>
        <v/>
      </c>
      <c r="B10" s="11">
        <f>IF($A10="","",'Price Projection'!B10)</f>
        <v/>
      </c>
      <c r="C10" s="13">
        <f>IF($A10="","",'Inputs'!$B$7)</f>
        <v/>
      </c>
      <c r="D10" s="11">
        <f>IF($A10="","",L9)</f>
        <v/>
      </c>
      <c r="E10" s="11">
        <f>IF($A10="","",D10*'Inputs'!$B$8)</f>
        <v/>
      </c>
      <c r="F10" s="11">
        <f>IF($A10="","",IF('Inputs'!$B$9="capitalized",D10+E10,D10))</f>
        <v/>
      </c>
      <c r="G10" s="11">
        <f>IF($A10="","",'Inputs'!$B$19)</f>
        <v/>
      </c>
      <c r="H10" s="11">
        <f>IF($A10="","",MAX(0,MIN(C10*B10*'Inputs'!$B$20,C10*B10*'Inputs'!$B$11*(1-'Inputs'!$B$12))-F10))</f>
        <v/>
      </c>
      <c r="I10" s="11">
        <f>IF($A10="","",IF(IF(C10*B10=0,0,F10/(C10*B10))&gt;='Inputs'!$B$10,0,MIN(G10,H10)))</f>
        <v/>
      </c>
      <c r="J10" s="11">
        <f>IF($A10="","",G10-I10)</f>
        <v/>
      </c>
      <c r="K10" s="11">
        <f>IF($A10="","",K9+I10)</f>
        <v/>
      </c>
      <c r="L10" s="11">
        <f>IF($A10="","",F10+I10)</f>
        <v/>
      </c>
      <c r="M10" s="13">
        <f>IF($A10="","",L10/B10)</f>
        <v/>
      </c>
      <c r="N10" s="13">
        <f>IF($A10="","",C10-M10)</f>
        <v/>
      </c>
      <c r="O10" s="11">
        <f>IF($A10="","",C10*B10-L10)</f>
        <v/>
      </c>
      <c r="P10" s="12">
        <f>IF($A10="","",IF(C10*B10=0,0,L10/(C10*B10)))</f>
        <v/>
      </c>
      <c r="Q10" s="11">
        <f>IF($A10="","",IF(L10=0,0,L10/(C10*'Inputs'!$B$10)))</f>
        <v/>
      </c>
      <c r="R10" s="11">
        <f>IF($A10="","",IF(L10=0,0,L10/(C10*'Inputs'!$B$11)))</f>
        <v/>
      </c>
      <c r="S10" s="12">
        <f>IF($A10="","",IF(R10&lt;=0,0,1-R10/B10))</f>
        <v/>
      </c>
      <c r="T10" s="6">
        <f>IF($A10="","",IF(P10&gt;='Inputs'!$B$11,"LIQUIDATED",IF(P10&gt;='Inputs'!$B$10,"MARGIN CALL",IF(OR(P10&gt;='Inputs'!$B$23,S10&lt;'Inputs'!$B$12),"WARNING",IF(AND(G10&gt;0,I10=0),"FAILED",IF(I10&lt;G10,"CONSTRAINED","SAFE"))))))</f>
        <v/>
      </c>
    </row>
    <row r="11">
      <c r="A11" s="6">
        <f>'Price Projection'!A11</f>
        <v/>
      </c>
      <c r="B11" s="11">
        <f>IF($A11="","",'Price Projection'!B11)</f>
        <v/>
      </c>
      <c r="C11" s="13">
        <f>IF($A11="","",'Inputs'!$B$7)</f>
        <v/>
      </c>
      <c r="D11" s="11">
        <f>IF($A11="","",L10)</f>
        <v/>
      </c>
      <c r="E11" s="11">
        <f>IF($A11="","",D11*'Inputs'!$B$8)</f>
        <v/>
      </c>
      <c r="F11" s="11">
        <f>IF($A11="","",IF('Inputs'!$B$9="capitalized",D11+E11,D11))</f>
        <v/>
      </c>
      <c r="G11" s="11">
        <f>IF($A11="","",'Inputs'!$B$19)</f>
        <v/>
      </c>
      <c r="H11" s="11">
        <f>IF($A11="","",MAX(0,MIN(C11*B11*'Inputs'!$B$20,C11*B11*'Inputs'!$B$11*(1-'Inputs'!$B$12))-F11))</f>
        <v/>
      </c>
      <c r="I11" s="11">
        <f>IF($A11="","",IF(IF(C11*B11=0,0,F11/(C11*B11))&gt;='Inputs'!$B$10,0,MIN(G11,H11)))</f>
        <v/>
      </c>
      <c r="J11" s="11">
        <f>IF($A11="","",G11-I11)</f>
        <v/>
      </c>
      <c r="K11" s="11">
        <f>IF($A11="","",K10+I11)</f>
        <v/>
      </c>
      <c r="L11" s="11">
        <f>IF($A11="","",F11+I11)</f>
        <v/>
      </c>
      <c r="M11" s="13">
        <f>IF($A11="","",L11/B11)</f>
        <v/>
      </c>
      <c r="N11" s="13">
        <f>IF($A11="","",C11-M11)</f>
        <v/>
      </c>
      <c r="O11" s="11">
        <f>IF($A11="","",C11*B11-L11)</f>
        <v/>
      </c>
      <c r="P11" s="12">
        <f>IF($A11="","",IF(C11*B11=0,0,L11/(C11*B11)))</f>
        <v/>
      </c>
      <c r="Q11" s="11">
        <f>IF($A11="","",IF(L11=0,0,L11/(C11*'Inputs'!$B$10)))</f>
        <v/>
      </c>
      <c r="R11" s="11">
        <f>IF($A11="","",IF(L11=0,0,L11/(C11*'Inputs'!$B$11)))</f>
        <v/>
      </c>
      <c r="S11" s="12">
        <f>IF($A11="","",IF(R11&lt;=0,0,1-R11/B11))</f>
        <v/>
      </c>
      <c r="T11" s="6">
        <f>IF($A11="","",IF(P11&gt;='Inputs'!$B$11,"LIQUIDATED",IF(P11&gt;='Inputs'!$B$10,"MARGIN CALL",IF(OR(P11&gt;='Inputs'!$B$23,S11&lt;'Inputs'!$B$12),"WARNING",IF(AND(G11&gt;0,I11=0),"FAILED",IF(I11&lt;G11,"CONSTRAINED","SAFE"))))))</f>
        <v/>
      </c>
    </row>
    <row r="12">
      <c r="A12" s="6">
        <f>'Price Projection'!A12</f>
        <v/>
      </c>
      <c r="B12" s="11">
        <f>IF($A12="","",'Price Projection'!B12)</f>
        <v/>
      </c>
      <c r="C12" s="13">
        <f>IF($A12="","",'Inputs'!$B$7)</f>
        <v/>
      </c>
      <c r="D12" s="11">
        <f>IF($A12="","",L11)</f>
        <v/>
      </c>
      <c r="E12" s="11">
        <f>IF($A12="","",D12*'Inputs'!$B$8)</f>
        <v/>
      </c>
      <c r="F12" s="11">
        <f>IF($A12="","",IF('Inputs'!$B$9="capitalized",D12+E12,D12))</f>
        <v/>
      </c>
      <c r="G12" s="11">
        <f>IF($A12="","",'Inputs'!$B$19)</f>
        <v/>
      </c>
      <c r="H12" s="11">
        <f>IF($A12="","",MAX(0,MIN(C12*B12*'Inputs'!$B$20,C12*B12*'Inputs'!$B$11*(1-'Inputs'!$B$12))-F12))</f>
        <v/>
      </c>
      <c r="I12" s="11">
        <f>IF($A12="","",IF(IF(C12*B12=0,0,F12/(C12*B12))&gt;='Inputs'!$B$10,0,MIN(G12,H12)))</f>
        <v/>
      </c>
      <c r="J12" s="11">
        <f>IF($A12="","",G12-I12)</f>
        <v/>
      </c>
      <c r="K12" s="11">
        <f>IF($A12="","",K11+I12)</f>
        <v/>
      </c>
      <c r="L12" s="11">
        <f>IF($A12="","",F12+I12)</f>
        <v/>
      </c>
      <c r="M12" s="13">
        <f>IF($A12="","",L12/B12)</f>
        <v/>
      </c>
      <c r="N12" s="13">
        <f>IF($A12="","",C12-M12)</f>
        <v/>
      </c>
      <c r="O12" s="11">
        <f>IF($A12="","",C12*B12-L12)</f>
        <v/>
      </c>
      <c r="P12" s="12">
        <f>IF($A12="","",IF(C12*B12=0,0,L12/(C12*B12)))</f>
        <v/>
      </c>
      <c r="Q12" s="11">
        <f>IF($A12="","",IF(L12=0,0,L12/(C12*'Inputs'!$B$10)))</f>
        <v/>
      </c>
      <c r="R12" s="11">
        <f>IF($A12="","",IF(L12=0,0,L12/(C12*'Inputs'!$B$11)))</f>
        <v/>
      </c>
      <c r="S12" s="12">
        <f>IF($A12="","",IF(R12&lt;=0,0,1-R12/B12))</f>
        <v/>
      </c>
      <c r="T12" s="6">
        <f>IF($A12="","",IF(P12&gt;='Inputs'!$B$11,"LIQUIDATED",IF(P12&gt;='Inputs'!$B$10,"MARGIN CALL",IF(OR(P12&gt;='Inputs'!$B$23,S12&lt;'Inputs'!$B$12),"WARNING",IF(AND(G12&gt;0,I12=0),"FAILED",IF(I12&lt;G12,"CONSTRAINED","SAFE"))))))</f>
        <v/>
      </c>
    </row>
    <row r="13">
      <c r="A13" s="6">
        <f>'Price Projection'!A13</f>
        <v/>
      </c>
      <c r="B13" s="11">
        <f>IF($A13="","",'Price Projection'!B13)</f>
        <v/>
      </c>
      <c r="C13" s="13">
        <f>IF($A13="","",'Inputs'!$B$7)</f>
        <v/>
      </c>
      <c r="D13" s="11">
        <f>IF($A13="","",L12)</f>
        <v/>
      </c>
      <c r="E13" s="11">
        <f>IF($A13="","",D13*'Inputs'!$B$8)</f>
        <v/>
      </c>
      <c r="F13" s="11">
        <f>IF($A13="","",IF('Inputs'!$B$9="capitalized",D13+E13,D13))</f>
        <v/>
      </c>
      <c r="G13" s="11">
        <f>IF($A13="","",'Inputs'!$B$19)</f>
        <v/>
      </c>
      <c r="H13" s="11">
        <f>IF($A13="","",MAX(0,MIN(C13*B13*'Inputs'!$B$20,C13*B13*'Inputs'!$B$11*(1-'Inputs'!$B$12))-F13))</f>
        <v/>
      </c>
      <c r="I13" s="11">
        <f>IF($A13="","",IF(IF(C13*B13=0,0,F13/(C13*B13))&gt;='Inputs'!$B$10,0,MIN(G13,H13)))</f>
        <v/>
      </c>
      <c r="J13" s="11">
        <f>IF($A13="","",G13-I13)</f>
        <v/>
      </c>
      <c r="K13" s="11">
        <f>IF($A13="","",K12+I13)</f>
        <v/>
      </c>
      <c r="L13" s="11">
        <f>IF($A13="","",F13+I13)</f>
        <v/>
      </c>
      <c r="M13" s="13">
        <f>IF($A13="","",L13/B13)</f>
        <v/>
      </c>
      <c r="N13" s="13">
        <f>IF($A13="","",C13-M13)</f>
        <v/>
      </c>
      <c r="O13" s="11">
        <f>IF($A13="","",C13*B13-L13)</f>
        <v/>
      </c>
      <c r="P13" s="12">
        <f>IF($A13="","",IF(C13*B13=0,0,L13/(C13*B13)))</f>
        <v/>
      </c>
      <c r="Q13" s="11">
        <f>IF($A13="","",IF(L13=0,0,L13/(C13*'Inputs'!$B$10)))</f>
        <v/>
      </c>
      <c r="R13" s="11">
        <f>IF($A13="","",IF(L13=0,0,L13/(C13*'Inputs'!$B$11)))</f>
        <v/>
      </c>
      <c r="S13" s="12">
        <f>IF($A13="","",IF(R13&lt;=0,0,1-R13/B13))</f>
        <v/>
      </c>
      <c r="T13" s="6">
        <f>IF($A13="","",IF(P13&gt;='Inputs'!$B$11,"LIQUIDATED",IF(P13&gt;='Inputs'!$B$10,"MARGIN CALL",IF(OR(P13&gt;='Inputs'!$B$23,S13&lt;'Inputs'!$B$12),"WARNING",IF(AND(G13&gt;0,I13=0),"FAILED",IF(I13&lt;G13,"CONSTRAINED","SAFE"))))))</f>
        <v/>
      </c>
    </row>
    <row r="14">
      <c r="A14" s="6">
        <f>'Price Projection'!A14</f>
        <v/>
      </c>
      <c r="B14" s="11">
        <f>IF($A14="","",'Price Projection'!B14)</f>
        <v/>
      </c>
      <c r="C14" s="13">
        <f>IF($A14="","",'Inputs'!$B$7)</f>
        <v/>
      </c>
      <c r="D14" s="11">
        <f>IF($A14="","",L13)</f>
        <v/>
      </c>
      <c r="E14" s="11">
        <f>IF($A14="","",D14*'Inputs'!$B$8)</f>
        <v/>
      </c>
      <c r="F14" s="11">
        <f>IF($A14="","",IF('Inputs'!$B$9="capitalized",D14+E14,D14))</f>
        <v/>
      </c>
      <c r="G14" s="11">
        <f>IF($A14="","",'Inputs'!$B$19)</f>
        <v/>
      </c>
      <c r="H14" s="11">
        <f>IF($A14="","",MAX(0,MIN(C14*B14*'Inputs'!$B$20,C14*B14*'Inputs'!$B$11*(1-'Inputs'!$B$12))-F14))</f>
        <v/>
      </c>
      <c r="I14" s="11">
        <f>IF($A14="","",IF(IF(C14*B14=0,0,F14/(C14*B14))&gt;='Inputs'!$B$10,0,MIN(G14,H14)))</f>
        <v/>
      </c>
      <c r="J14" s="11">
        <f>IF($A14="","",G14-I14)</f>
        <v/>
      </c>
      <c r="K14" s="11">
        <f>IF($A14="","",K13+I14)</f>
        <v/>
      </c>
      <c r="L14" s="11">
        <f>IF($A14="","",F14+I14)</f>
        <v/>
      </c>
      <c r="M14" s="13">
        <f>IF($A14="","",L14/B14)</f>
        <v/>
      </c>
      <c r="N14" s="13">
        <f>IF($A14="","",C14-M14)</f>
        <v/>
      </c>
      <c r="O14" s="11">
        <f>IF($A14="","",C14*B14-L14)</f>
        <v/>
      </c>
      <c r="P14" s="12">
        <f>IF($A14="","",IF(C14*B14=0,0,L14/(C14*B14)))</f>
        <v/>
      </c>
      <c r="Q14" s="11">
        <f>IF($A14="","",IF(L14=0,0,L14/(C14*'Inputs'!$B$10)))</f>
        <v/>
      </c>
      <c r="R14" s="11">
        <f>IF($A14="","",IF(L14=0,0,L14/(C14*'Inputs'!$B$11)))</f>
        <v/>
      </c>
      <c r="S14" s="12">
        <f>IF($A14="","",IF(R14&lt;=0,0,1-R14/B14))</f>
        <v/>
      </c>
      <c r="T14" s="6">
        <f>IF($A14="","",IF(P14&gt;='Inputs'!$B$11,"LIQUIDATED",IF(P14&gt;='Inputs'!$B$10,"MARGIN CALL",IF(OR(P14&gt;='Inputs'!$B$23,S14&lt;'Inputs'!$B$12),"WARNING",IF(AND(G14&gt;0,I14=0),"FAILED",IF(I14&lt;G14,"CONSTRAINED","SAFE"))))))</f>
        <v/>
      </c>
    </row>
    <row r="15">
      <c r="A15" s="6">
        <f>'Price Projection'!A15</f>
        <v/>
      </c>
      <c r="B15" s="11">
        <f>IF($A15="","",'Price Projection'!B15)</f>
        <v/>
      </c>
      <c r="C15" s="13">
        <f>IF($A15="","",'Inputs'!$B$7)</f>
        <v/>
      </c>
      <c r="D15" s="11">
        <f>IF($A15="","",L14)</f>
        <v/>
      </c>
      <c r="E15" s="11">
        <f>IF($A15="","",D15*'Inputs'!$B$8)</f>
        <v/>
      </c>
      <c r="F15" s="11">
        <f>IF($A15="","",IF('Inputs'!$B$9="capitalized",D15+E15,D15))</f>
        <v/>
      </c>
      <c r="G15" s="11">
        <f>IF($A15="","",'Inputs'!$B$19)</f>
        <v/>
      </c>
      <c r="H15" s="11">
        <f>IF($A15="","",MAX(0,MIN(C15*B15*'Inputs'!$B$20,C15*B15*'Inputs'!$B$11*(1-'Inputs'!$B$12))-F15))</f>
        <v/>
      </c>
      <c r="I15" s="11">
        <f>IF($A15="","",IF(IF(C15*B15=0,0,F15/(C15*B15))&gt;='Inputs'!$B$10,0,MIN(G15,H15)))</f>
        <v/>
      </c>
      <c r="J15" s="11">
        <f>IF($A15="","",G15-I15)</f>
        <v/>
      </c>
      <c r="K15" s="11">
        <f>IF($A15="","",K14+I15)</f>
        <v/>
      </c>
      <c r="L15" s="11">
        <f>IF($A15="","",F15+I15)</f>
        <v/>
      </c>
      <c r="M15" s="13">
        <f>IF($A15="","",L15/B15)</f>
        <v/>
      </c>
      <c r="N15" s="13">
        <f>IF($A15="","",C15-M15)</f>
        <v/>
      </c>
      <c r="O15" s="11">
        <f>IF($A15="","",C15*B15-L15)</f>
        <v/>
      </c>
      <c r="P15" s="12">
        <f>IF($A15="","",IF(C15*B15=0,0,L15/(C15*B15)))</f>
        <v/>
      </c>
      <c r="Q15" s="11">
        <f>IF($A15="","",IF(L15=0,0,L15/(C15*'Inputs'!$B$10)))</f>
        <v/>
      </c>
      <c r="R15" s="11">
        <f>IF($A15="","",IF(L15=0,0,L15/(C15*'Inputs'!$B$11)))</f>
        <v/>
      </c>
      <c r="S15" s="12">
        <f>IF($A15="","",IF(R15&lt;=0,0,1-R15/B15))</f>
        <v/>
      </c>
      <c r="T15" s="6">
        <f>IF($A15="","",IF(P15&gt;='Inputs'!$B$11,"LIQUIDATED",IF(P15&gt;='Inputs'!$B$10,"MARGIN CALL",IF(OR(P15&gt;='Inputs'!$B$23,S15&lt;'Inputs'!$B$12),"WARNING",IF(AND(G15&gt;0,I15=0),"FAILED",IF(I15&lt;G15,"CONSTRAINED","SAFE"))))))</f>
        <v/>
      </c>
    </row>
    <row r="16">
      <c r="A16" s="6">
        <f>'Price Projection'!A16</f>
        <v/>
      </c>
      <c r="B16" s="11">
        <f>IF($A16="","",'Price Projection'!B16)</f>
        <v/>
      </c>
      <c r="C16" s="13">
        <f>IF($A16="","",'Inputs'!$B$7)</f>
        <v/>
      </c>
      <c r="D16" s="11">
        <f>IF($A16="","",L15)</f>
        <v/>
      </c>
      <c r="E16" s="11">
        <f>IF($A16="","",D16*'Inputs'!$B$8)</f>
        <v/>
      </c>
      <c r="F16" s="11">
        <f>IF($A16="","",IF('Inputs'!$B$9="capitalized",D16+E16,D16))</f>
        <v/>
      </c>
      <c r="G16" s="11">
        <f>IF($A16="","",'Inputs'!$B$19)</f>
        <v/>
      </c>
      <c r="H16" s="11">
        <f>IF($A16="","",MAX(0,MIN(C16*B16*'Inputs'!$B$20,C16*B16*'Inputs'!$B$11*(1-'Inputs'!$B$12))-F16))</f>
        <v/>
      </c>
      <c r="I16" s="11">
        <f>IF($A16="","",IF(IF(C16*B16=0,0,F16/(C16*B16))&gt;='Inputs'!$B$10,0,MIN(G16,H16)))</f>
        <v/>
      </c>
      <c r="J16" s="11">
        <f>IF($A16="","",G16-I16)</f>
        <v/>
      </c>
      <c r="K16" s="11">
        <f>IF($A16="","",K15+I16)</f>
        <v/>
      </c>
      <c r="L16" s="11">
        <f>IF($A16="","",F16+I16)</f>
        <v/>
      </c>
      <c r="M16" s="13">
        <f>IF($A16="","",L16/B16)</f>
        <v/>
      </c>
      <c r="N16" s="13">
        <f>IF($A16="","",C16-M16)</f>
        <v/>
      </c>
      <c r="O16" s="11">
        <f>IF($A16="","",C16*B16-L16)</f>
        <v/>
      </c>
      <c r="P16" s="12">
        <f>IF($A16="","",IF(C16*B16=0,0,L16/(C16*B16)))</f>
        <v/>
      </c>
      <c r="Q16" s="11">
        <f>IF($A16="","",IF(L16=0,0,L16/(C16*'Inputs'!$B$10)))</f>
        <v/>
      </c>
      <c r="R16" s="11">
        <f>IF($A16="","",IF(L16=0,0,L16/(C16*'Inputs'!$B$11)))</f>
        <v/>
      </c>
      <c r="S16" s="12">
        <f>IF($A16="","",IF(R16&lt;=0,0,1-R16/B16))</f>
        <v/>
      </c>
      <c r="T16" s="6">
        <f>IF($A16="","",IF(P16&gt;='Inputs'!$B$11,"LIQUIDATED",IF(P16&gt;='Inputs'!$B$10,"MARGIN CALL",IF(OR(P16&gt;='Inputs'!$B$23,S16&lt;'Inputs'!$B$12),"WARNING",IF(AND(G16&gt;0,I16=0),"FAILED",IF(I16&lt;G16,"CONSTRAINED","SAFE"))))))</f>
        <v/>
      </c>
    </row>
    <row r="17">
      <c r="A17" s="6">
        <f>'Price Projection'!A17</f>
        <v/>
      </c>
      <c r="B17" s="11">
        <f>IF($A17="","",'Price Projection'!B17)</f>
        <v/>
      </c>
      <c r="C17" s="13">
        <f>IF($A17="","",'Inputs'!$B$7)</f>
        <v/>
      </c>
      <c r="D17" s="11">
        <f>IF($A17="","",L16)</f>
        <v/>
      </c>
      <c r="E17" s="11">
        <f>IF($A17="","",D17*'Inputs'!$B$8)</f>
        <v/>
      </c>
      <c r="F17" s="11">
        <f>IF($A17="","",IF('Inputs'!$B$9="capitalized",D17+E17,D17))</f>
        <v/>
      </c>
      <c r="G17" s="11">
        <f>IF($A17="","",'Inputs'!$B$19)</f>
        <v/>
      </c>
      <c r="H17" s="11">
        <f>IF($A17="","",MAX(0,MIN(C17*B17*'Inputs'!$B$20,C17*B17*'Inputs'!$B$11*(1-'Inputs'!$B$12))-F17))</f>
        <v/>
      </c>
      <c r="I17" s="11">
        <f>IF($A17="","",IF(IF(C17*B17=0,0,F17/(C17*B17))&gt;='Inputs'!$B$10,0,MIN(G17,H17)))</f>
        <v/>
      </c>
      <c r="J17" s="11">
        <f>IF($A17="","",G17-I17)</f>
        <v/>
      </c>
      <c r="K17" s="11">
        <f>IF($A17="","",K16+I17)</f>
        <v/>
      </c>
      <c r="L17" s="11">
        <f>IF($A17="","",F17+I17)</f>
        <v/>
      </c>
      <c r="M17" s="13">
        <f>IF($A17="","",L17/B17)</f>
        <v/>
      </c>
      <c r="N17" s="13">
        <f>IF($A17="","",C17-M17)</f>
        <v/>
      </c>
      <c r="O17" s="11">
        <f>IF($A17="","",C17*B17-L17)</f>
        <v/>
      </c>
      <c r="P17" s="12">
        <f>IF($A17="","",IF(C17*B17=0,0,L17/(C17*B17)))</f>
        <v/>
      </c>
      <c r="Q17" s="11">
        <f>IF($A17="","",IF(L17=0,0,L17/(C17*'Inputs'!$B$10)))</f>
        <v/>
      </c>
      <c r="R17" s="11">
        <f>IF($A17="","",IF(L17=0,0,L17/(C17*'Inputs'!$B$11)))</f>
        <v/>
      </c>
      <c r="S17" s="12">
        <f>IF($A17="","",IF(R17&lt;=0,0,1-R17/B17))</f>
        <v/>
      </c>
      <c r="T17" s="6">
        <f>IF($A17="","",IF(P17&gt;='Inputs'!$B$11,"LIQUIDATED",IF(P17&gt;='Inputs'!$B$10,"MARGIN CALL",IF(OR(P17&gt;='Inputs'!$B$23,S17&lt;'Inputs'!$B$12),"WARNING",IF(AND(G17&gt;0,I17=0),"FAILED",IF(I17&lt;G17,"CONSTRAINED","SAFE"))))))</f>
        <v/>
      </c>
    </row>
    <row r="18">
      <c r="A18" s="6">
        <f>'Price Projection'!A18</f>
        <v/>
      </c>
      <c r="B18" s="11">
        <f>IF($A18="","",'Price Projection'!B18)</f>
        <v/>
      </c>
      <c r="C18" s="13">
        <f>IF($A18="","",'Inputs'!$B$7)</f>
        <v/>
      </c>
      <c r="D18" s="11">
        <f>IF($A18="","",L17)</f>
        <v/>
      </c>
      <c r="E18" s="11">
        <f>IF($A18="","",D18*'Inputs'!$B$8)</f>
        <v/>
      </c>
      <c r="F18" s="11">
        <f>IF($A18="","",IF('Inputs'!$B$9="capitalized",D18+E18,D18))</f>
        <v/>
      </c>
      <c r="G18" s="11">
        <f>IF($A18="","",'Inputs'!$B$19)</f>
        <v/>
      </c>
      <c r="H18" s="11">
        <f>IF($A18="","",MAX(0,MIN(C18*B18*'Inputs'!$B$20,C18*B18*'Inputs'!$B$11*(1-'Inputs'!$B$12))-F18))</f>
        <v/>
      </c>
      <c r="I18" s="11">
        <f>IF($A18="","",IF(IF(C18*B18=0,0,F18/(C18*B18))&gt;='Inputs'!$B$10,0,MIN(G18,H18)))</f>
        <v/>
      </c>
      <c r="J18" s="11">
        <f>IF($A18="","",G18-I18)</f>
        <v/>
      </c>
      <c r="K18" s="11">
        <f>IF($A18="","",K17+I18)</f>
        <v/>
      </c>
      <c r="L18" s="11">
        <f>IF($A18="","",F18+I18)</f>
        <v/>
      </c>
      <c r="M18" s="13">
        <f>IF($A18="","",L18/B18)</f>
        <v/>
      </c>
      <c r="N18" s="13">
        <f>IF($A18="","",C18-M18)</f>
        <v/>
      </c>
      <c r="O18" s="11">
        <f>IF($A18="","",C18*B18-L18)</f>
        <v/>
      </c>
      <c r="P18" s="12">
        <f>IF($A18="","",IF(C18*B18=0,0,L18/(C18*B18)))</f>
        <v/>
      </c>
      <c r="Q18" s="11">
        <f>IF($A18="","",IF(L18=0,0,L18/(C18*'Inputs'!$B$10)))</f>
        <v/>
      </c>
      <c r="R18" s="11">
        <f>IF($A18="","",IF(L18=0,0,L18/(C18*'Inputs'!$B$11)))</f>
        <v/>
      </c>
      <c r="S18" s="12">
        <f>IF($A18="","",IF(R18&lt;=0,0,1-R18/B18))</f>
        <v/>
      </c>
      <c r="T18" s="6">
        <f>IF($A18="","",IF(P18&gt;='Inputs'!$B$11,"LIQUIDATED",IF(P18&gt;='Inputs'!$B$10,"MARGIN CALL",IF(OR(P18&gt;='Inputs'!$B$23,S18&lt;'Inputs'!$B$12),"WARNING",IF(AND(G18&gt;0,I18=0),"FAILED",IF(I18&lt;G18,"CONSTRAINED","SAFE"))))))</f>
        <v/>
      </c>
    </row>
    <row r="19">
      <c r="A19" s="6">
        <f>'Price Projection'!A19</f>
        <v/>
      </c>
      <c r="B19" s="11">
        <f>IF($A19="","",'Price Projection'!B19)</f>
        <v/>
      </c>
      <c r="C19" s="13">
        <f>IF($A19="","",'Inputs'!$B$7)</f>
        <v/>
      </c>
      <c r="D19" s="11">
        <f>IF($A19="","",L18)</f>
        <v/>
      </c>
      <c r="E19" s="11">
        <f>IF($A19="","",D19*'Inputs'!$B$8)</f>
        <v/>
      </c>
      <c r="F19" s="11">
        <f>IF($A19="","",IF('Inputs'!$B$9="capitalized",D19+E19,D19))</f>
        <v/>
      </c>
      <c r="G19" s="11">
        <f>IF($A19="","",'Inputs'!$B$19)</f>
        <v/>
      </c>
      <c r="H19" s="11">
        <f>IF($A19="","",MAX(0,MIN(C19*B19*'Inputs'!$B$20,C19*B19*'Inputs'!$B$11*(1-'Inputs'!$B$12))-F19))</f>
        <v/>
      </c>
      <c r="I19" s="11">
        <f>IF($A19="","",IF(IF(C19*B19=0,0,F19/(C19*B19))&gt;='Inputs'!$B$10,0,MIN(G19,H19)))</f>
        <v/>
      </c>
      <c r="J19" s="11">
        <f>IF($A19="","",G19-I19)</f>
        <v/>
      </c>
      <c r="K19" s="11">
        <f>IF($A19="","",K18+I19)</f>
        <v/>
      </c>
      <c r="L19" s="11">
        <f>IF($A19="","",F19+I19)</f>
        <v/>
      </c>
      <c r="M19" s="13">
        <f>IF($A19="","",L19/B19)</f>
        <v/>
      </c>
      <c r="N19" s="13">
        <f>IF($A19="","",C19-M19)</f>
        <v/>
      </c>
      <c r="O19" s="11">
        <f>IF($A19="","",C19*B19-L19)</f>
        <v/>
      </c>
      <c r="P19" s="12">
        <f>IF($A19="","",IF(C19*B19=0,0,L19/(C19*B19)))</f>
        <v/>
      </c>
      <c r="Q19" s="11">
        <f>IF($A19="","",IF(L19=0,0,L19/(C19*'Inputs'!$B$10)))</f>
        <v/>
      </c>
      <c r="R19" s="11">
        <f>IF($A19="","",IF(L19=0,0,L19/(C19*'Inputs'!$B$11)))</f>
        <v/>
      </c>
      <c r="S19" s="12">
        <f>IF($A19="","",IF(R19&lt;=0,0,1-R19/B19))</f>
        <v/>
      </c>
      <c r="T19" s="6">
        <f>IF($A19="","",IF(P19&gt;='Inputs'!$B$11,"LIQUIDATED",IF(P19&gt;='Inputs'!$B$10,"MARGIN CALL",IF(OR(P19&gt;='Inputs'!$B$23,S19&lt;'Inputs'!$B$12),"WARNING",IF(AND(G19&gt;0,I19=0),"FAILED",IF(I19&lt;G19,"CONSTRAINED","SAFE"))))))</f>
        <v/>
      </c>
    </row>
    <row r="20">
      <c r="A20" s="6">
        <f>'Price Projection'!A20</f>
        <v/>
      </c>
      <c r="B20" s="11">
        <f>IF($A20="","",'Price Projection'!B20)</f>
        <v/>
      </c>
      <c r="C20" s="13">
        <f>IF($A20="","",'Inputs'!$B$7)</f>
        <v/>
      </c>
      <c r="D20" s="11">
        <f>IF($A20="","",L19)</f>
        <v/>
      </c>
      <c r="E20" s="11">
        <f>IF($A20="","",D20*'Inputs'!$B$8)</f>
        <v/>
      </c>
      <c r="F20" s="11">
        <f>IF($A20="","",IF('Inputs'!$B$9="capitalized",D20+E20,D20))</f>
        <v/>
      </c>
      <c r="G20" s="11">
        <f>IF($A20="","",'Inputs'!$B$19)</f>
        <v/>
      </c>
      <c r="H20" s="11">
        <f>IF($A20="","",MAX(0,MIN(C20*B20*'Inputs'!$B$20,C20*B20*'Inputs'!$B$11*(1-'Inputs'!$B$12))-F20))</f>
        <v/>
      </c>
      <c r="I20" s="11">
        <f>IF($A20="","",IF(IF(C20*B20=0,0,F20/(C20*B20))&gt;='Inputs'!$B$10,0,MIN(G20,H20)))</f>
        <v/>
      </c>
      <c r="J20" s="11">
        <f>IF($A20="","",G20-I20)</f>
        <v/>
      </c>
      <c r="K20" s="11">
        <f>IF($A20="","",K19+I20)</f>
        <v/>
      </c>
      <c r="L20" s="11">
        <f>IF($A20="","",F20+I20)</f>
        <v/>
      </c>
      <c r="M20" s="13">
        <f>IF($A20="","",L20/B20)</f>
        <v/>
      </c>
      <c r="N20" s="13">
        <f>IF($A20="","",C20-M20)</f>
        <v/>
      </c>
      <c r="O20" s="11">
        <f>IF($A20="","",C20*B20-L20)</f>
        <v/>
      </c>
      <c r="P20" s="12">
        <f>IF($A20="","",IF(C20*B20=0,0,L20/(C20*B20)))</f>
        <v/>
      </c>
      <c r="Q20" s="11">
        <f>IF($A20="","",IF(L20=0,0,L20/(C20*'Inputs'!$B$10)))</f>
        <v/>
      </c>
      <c r="R20" s="11">
        <f>IF($A20="","",IF(L20=0,0,L20/(C20*'Inputs'!$B$11)))</f>
        <v/>
      </c>
      <c r="S20" s="12">
        <f>IF($A20="","",IF(R20&lt;=0,0,1-R20/B20))</f>
        <v/>
      </c>
      <c r="T20" s="6">
        <f>IF($A20="","",IF(P20&gt;='Inputs'!$B$11,"LIQUIDATED",IF(P20&gt;='Inputs'!$B$10,"MARGIN CALL",IF(OR(P20&gt;='Inputs'!$B$23,S20&lt;'Inputs'!$B$12),"WARNING",IF(AND(G20&gt;0,I20=0),"FAILED",IF(I20&lt;G20,"CONSTRAINED","SAFE"))))))</f>
        <v/>
      </c>
    </row>
    <row r="21">
      <c r="A21" s="6">
        <f>'Price Projection'!A21</f>
        <v/>
      </c>
      <c r="B21" s="11">
        <f>IF($A21="","",'Price Projection'!B21)</f>
        <v/>
      </c>
      <c r="C21" s="13">
        <f>IF($A21="","",'Inputs'!$B$7)</f>
        <v/>
      </c>
      <c r="D21" s="11">
        <f>IF($A21="","",L20)</f>
        <v/>
      </c>
      <c r="E21" s="11">
        <f>IF($A21="","",D21*'Inputs'!$B$8)</f>
        <v/>
      </c>
      <c r="F21" s="11">
        <f>IF($A21="","",IF('Inputs'!$B$9="capitalized",D21+E21,D21))</f>
        <v/>
      </c>
      <c r="G21" s="11">
        <f>IF($A21="","",'Inputs'!$B$19)</f>
        <v/>
      </c>
      <c r="H21" s="11">
        <f>IF($A21="","",MAX(0,MIN(C21*B21*'Inputs'!$B$20,C21*B21*'Inputs'!$B$11*(1-'Inputs'!$B$12))-F21))</f>
        <v/>
      </c>
      <c r="I21" s="11">
        <f>IF($A21="","",IF(IF(C21*B21=0,0,F21/(C21*B21))&gt;='Inputs'!$B$10,0,MIN(G21,H21)))</f>
        <v/>
      </c>
      <c r="J21" s="11">
        <f>IF($A21="","",G21-I21)</f>
        <v/>
      </c>
      <c r="K21" s="11">
        <f>IF($A21="","",K20+I21)</f>
        <v/>
      </c>
      <c r="L21" s="11">
        <f>IF($A21="","",F21+I21)</f>
        <v/>
      </c>
      <c r="M21" s="13">
        <f>IF($A21="","",L21/B21)</f>
        <v/>
      </c>
      <c r="N21" s="13">
        <f>IF($A21="","",C21-M21)</f>
        <v/>
      </c>
      <c r="O21" s="11">
        <f>IF($A21="","",C21*B21-L21)</f>
        <v/>
      </c>
      <c r="P21" s="12">
        <f>IF($A21="","",IF(C21*B21=0,0,L21/(C21*B21)))</f>
        <v/>
      </c>
      <c r="Q21" s="11">
        <f>IF($A21="","",IF(L21=0,0,L21/(C21*'Inputs'!$B$10)))</f>
        <v/>
      </c>
      <c r="R21" s="11">
        <f>IF($A21="","",IF(L21=0,0,L21/(C21*'Inputs'!$B$11)))</f>
        <v/>
      </c>
      <c r="S21" s="12">
        <f>IF($A21="","",IF(R21&lt;=0,0,1-R21/B21))</f>
        <v/>
      </c>
      <c r="T21" s="6">
        <f>IF($A21="","",IF(P21&gt;='Inputs'!$B$11,"LIQUIDATED",IF(P21&gt;='Inputs'!$B$10,"MARGIN CALL",IF(OR(P21&gt;='Inputs'!$B$23,S21&lt;'Inputs'!$B$12),"WARNING",IF(AND(G21&gt;0,I21=0),"FAILED",IF(I21&lt;G21,"CONSTRAINED","SAFE"))))))</f>
        <v/>
      </c>
    </row>
    <row r="22">
      <c r="A22" s="6">
        <f>'Price Projection'!A22</f>
        <v/>
      </c>
      <c r="B22" s="11">
        <f>IF($A22="","",'Price Projection'!B22)</f>
        <v/>
      </c>
      <c r="C22" s="13">
        <f>IF($A22="","",'Inputs'!$B$7)</f>
        <v/>
      </c>
      <c r="D22" s="11">
        <f>IF($A22="","",L21)</f>
        <v/>
      </c>
      <c r="E22" s="11">
        <f>IF($A22="","",D22*'Inputs'!$B$8)</f>
        <v/>
      </c>
      <c r="F22" s="11">
        <f>IF($A22="","",IF('Inputs'!$B$9="capitalized",D22+E22,D22))</f>
        <v/>
      </c>
      <c r="G22" s="11">
        <f>IF($A22="","",'Inputs'!$B$19)</f>
        <v/>
      </c>
      <c r="H22" s="11">
        <f>IF($A22="","",MAX(0,MIN(C22*B22*'Inputs'!$B$20,C22*B22*'Inputs'!$B$11*(1-'Inputs'!$B$12))-F22))</f>
        <v/>
      </c>
      <c r="I22" s="11">
        <f>IF($A22="","",IF(IF(C22*B22=0,0,F22/(C22*B22))&gt;='Inputs'!$B$10,0,MIN(G22,H22)))</f>
        <v/>
      </c>
      <c r="J22" s="11">
        <f>IF($A22="","",G22-I22)</f>
        <v/>
      </c>
      <c r="K22" s="11">
        <f>IF($A22="","",K21+I22)</f>
        <v/>
      </c>
      <c r="L22" s="11">
        <f>IF($A22="","",F22+I22)</f>
        <v/>
      </c>
      <c r="M22" s="13">
        <f>IF($A22="","",L22/B22)</f>
        <v/>
      </c>
      <c r="N22" s="13">
        <f>IF($A22="","",C22-M22)</f>
        <v/>
      </c>
      <c r="O22" s="11">
        <f>IF($A22="","",C22*B22-L22)</f>
        <v/>
      </c>
      <c r="P22" s="12">
        <f>IF($A22="","",IF(C22*B22=0,0,L22/(C22*B22)))</f>
        <v/>
      </c>
      <c r="Q22" s="11">
        <f>IF($A22="","",IF(L22=0,0,L22/(C22*'Inputs'!$B$10)))</f>
        <v/>
      </c>
      <c r="R22" s="11">
        <f>IF($A22="","",IF(L22=0,0,L22/(C22*'Inputs'!$B$11)))</f>
        <v/>
      </c>
      <c r="S22" s="12">
        <f>IF($A22="","",IF(R22&lt;=0,0,1-R22/B22))</f>
        <v/>
      </c>
      <c r="T22" s="6">
        <f>IF($A22="","",IF(P22&gt;='Inputs'!$B$11,"LIQUIDATED",IF(P22&gt;='Inputs'!$B$10,"MARGIN CALL",IF(OR(P22&gt;='Inputs'!$B$23,S22&lt;'Inputs'!$B$12),"WARNING",IF(AND(G22&gt;0,I22=0),"FAILED",IF(I22&lt;G22,"CONSTRAINED","SAFE"))))))</f>
        <v/>
      </c>
    </row>
    <row r="23">
      <c r="A23" s="6">
        <f>'Price Projection'!A23</f>
        <v/>
      </c>
      <c r="B23" s="11">
        <f>IF($A23="","",'Price Projection'!B23)</f>
        <v/>
      </c>
      <c r="C23" s="13">
        <f>IF($A23="","",'Inputs'!$B$7)</f>
        <v/>
      </c>
      <c r="D23" s="11">
        <f>IF($A23="","",L22)</f>
        <v/>
      </c>
      <c r="E23" s="11">
        <f>IF($A23="","",D23*'Inputs'!$B$8)</f>
        <v/>
      </c>
      <c r="F23" s="11">
        <f>IF($A23="","",IF('Inputs'!$B$9="capitalized",D23+E23,D23))</f>
        <v/>
      </c>
      <c r="G23" s="11">
        <f>IF($A23="","",'Inputs'!$B$19)</f>
        <v/>
      </c>
      <c r="H23" s="11">
        <f>IF($A23="","",MAX(0,MIN(C23*B23*'Inputs'!$B$20,C23*B23*'Inputs'!$B$11*(1-'Inputs'!$B$12))-F23))</f>
        <v/>
      </c>
      <c r="I23" s="11">
        <f>IF($A23="","",IF(IF(C23*B23=0,0,F23/(C23*B23))&gt;='Inputs'!$B$10,0,MIN(G23,H23)))</f>
        <v/>
      </c>
      <c r="J23" s="11">
        <f>IF($A23="","",G23-I23)</f>
        <v/>
      </c>
      <c r="K23" s="11">
        <f>IF($A23="","",K22+I23)</f>
        <v/>
      </c>
      <c r="L23" s="11">
        <f>IF($A23="","",F23+I23)</f>
        <v/>
      </c>
      <c r="M23" s="13">
        <f>IF($A23="","",L23/B23)</f>
        <v/>
      </c>
      <c r="N23" s="13">
        <f>IF($A23="","",C23-M23)</f>
        <v/>
      </c>
      <c r="O23" s="11">
        <f>IF($A23="","",C23*B23-L23)</f>
        <v/>
      </c>
      <c r="P23" s="12">
        <f>IF($A23="","",IF(C23*B23=0,0,L23/(C23*B23)))</f>
        <v/>
      </c>
      <c r="Q23" s="11">
        <f>IF($A23="","",IF(L23=0,0,L23/(C23*'Inputs'!$B$10)))</f>
        <v/>
      </c>
      <c r="R23" s="11">
        <f>IF($A23="","",IF(L23=0,0,L23/(C23*'Inputs'!$B$11)))</f>
        <v/>
      </c>
      <c r="S23" s="12">
        <f>IF($A23="","",IF(R23&lt;=0,0,1-R23/B23))</f>
        <v/>
      </c>
      <c r="T23" s="6">
        <f>IF($A23="","",IF(P23&gt;='Inputs'!$B$11,"LIQUIDATED",IF(P23&gt;='Inputs'!$B$10,"MARGIN CALL",IF(OR(P23&gt;='Inputs'!$B$23,S23&lt;'Inputs'!$B$12),"WARNING",IF(AND(G23&gt;0,I23=0),"FAILED",IF(I23&lt;G23,"CONSTRAINED","SAFE"))))))</f>
        <v/>
      </c>
    </row>
    <row r="24">
      <c r="A24" s="6">
        <f>'Price Projection'!A24</f>
        <v/>
      </c>
      <c r="B24" s="11">
        <f>IF($A24="","",'Price Projection'!B24)</f>
        <v/>
      </c>
      <c r="C24" s="13">
        <f>IF($A24="","",'Inputs'!$B$7)</f>
        <v/>
      </c>
      <c r="D24" s="11">
        <f>IF($A24="","",L23)</f>
        <v/>
      </c>
      <c r="E24" s="11">
        <f>IF($A24="","",D24*'Inputs'!$B$8)</f>
        <v/>
      </c>
      <c r="F24" s="11">
        <f>IF($A24="","",IF('Inputs'!$B$9="capitalized",D24+E24,D24))</f>
        <v/>
      </c>
      <c r="G24" s="11">
        <f>IF($A24="","",'Inputs'!$B$19)</f>
        <v/>
      </c>
      <c r="H24" s="11">
        <f>IF($A24="","",MAX(0,MIN(C24*B24*'Inputs'!$B$20,C24*B24*'Inputs'!$B$11*(1-'Inputs'!$B$12))-F24))</f>
        <v/>
      </c>
      <c r="I24" s="11">
        <f>IF($A24="","",IF(IF(C24*B24=0,0,F24/(C24*B24))&gt;='Inputs'!$B$10,0,MIN(G24,H24)))</f>
        <v/>
      </c>
      <c r="J24" s="11">
        <f>IF($A24="","",G24-I24)</f>
        <v/>
      </c>
      <c r="K24" s="11">
        <f>IF($A24="","",K23+I24)</f>
        <v/>
      </c>
      <c r="L24" s="11">
        <f>IF($A24="","",F24+I24)</f>
        <v/>
      </c>
      <c r="M24" s="13">
        <f>IF($A24="","",L24/B24)</f>
        <v/>
      </c>
      <c r="N24" s="13">
        <f>IF($A24="","",C24-M24)</f>
        <v/>
      </c>
      <c r="O24" s="11">
        <f>IF($A24="","",C24*B24-L24)</f>
        <v/>
      </c>
      <c r="P24" s="12">
        <f>IF($A24="","",IF(C24*B24=0,0,L24/(C24*B24)))</f>
        <v/>
      </c>
      <c r="Q24" s="11">
        <f>IF($A24="","",IF(L24=0,0,L24/(C24*'Inputs'!$B$10)))</f>
        <v/>
      </c>
      <c r="R24" s="11">
        <f>IF($A24="","",IF(L24=0,0,L24/(C24*'Inputs'!$B$11)))</f>
        <v/>
      </c>
      <c r="S24" s="12">
        <f>IF($A24="","",IF(R24&lt;=0,0,1-R24/B24))</f>
        <v/>
      </c>
      <c r="T24" s="6">
        <f>IF($A24="","",IF(P24&gt;='Inputs'!$B$11,"LIQUIDATED",IF(P24&gt;='Inputs'!$B$10,"MARGIN CALL",IF(OR(P24&gt;='Inputs'!$B$23,S24&lt;'Inputs'!$B$12),"WARNING",IF(AND(G24&gt;0,I24=0),"FAILED",IF(I24&lt;G24,"CONSTRAINED","SAFE"))))))</f>
        <v/>
      </c>
    </row>
    <row r="25">
      <c r="A25" s="6">
        <f>'Price Projection'!A25</f>
        <v/>
      </c>
      <c r="B25" s="11">
        <f>IF($A25="","",'Price Projection'!B25)</f>
        <v/>
      </c>
      <c r="C25" s="13">
        <f>IF($A25="","",'Inputs'!$B$7)</f>
        <v/>
      </c>
      <c r="D25" s="11">
        <f>IF($A25="","",L24)</f>
        <v/>
      </c>
      <c r="E25" s="11">
        <f>IF($A25="","",D25*'Inputs'!$B$8)</f>
        <v/>
      </c>
      <c r="F25" s="11">
        <f>IF($A25="","",IF('Inputs'!$B$9="capitalized",D25+E25,D25))</f>
        <v/>
      </c>
      <c r="G25" s="11">
        <f>IF($A25="","",'Inputs'!$B$19)</f>
        <v/>
      </c>
      <c r="H25" s="11">
        <f>IF($A25="","",MAX(0,MIN(C25*B25*'Inputs'!$B$20,C25*B25*'Inputs'!$B$11*(1-'Inputs'!$B$12))-F25))</f>
        <v/>
      </c>
      <c r="I25" s="11">
        <f>IF($A25="","",IF(IF(C25*B25=0,0,F25/(C25*B25))&gt;='Inputs'!$B$10,0,MIN(G25,H25)))</f>
        <v/>
      </c>
      <c r="J25" s="11">
        <f>IF($A25="","",G25-I25)</f>
        <v/>
      </c>
      <c r="K25" s="11">
        <f>IF($A25="","",K24+I25)</f>
        <v/>
      </c>
      <c r="L25" s="11">
        <f>IF($A25="","",F25+I25)</f>
        <v/>
      </c>
      <c r="M25" s="13">
        <f>IF($A25="","",L25/B25)</f>
        <v/>
      </c>
      <c r="N25" s="13">
        <f>IF($A25="","",C25-M25)</f>
        <v/>
      </c>
      <c r="O25" s="11">
        <f>IF($A25="","",C25*B25-L25)</f>
        <v/>
      </c>
      <c r="P25" s="12">
        <f>IF($A25="","",IF(C25*B25=0,0,L25/(C25*B25)))</f>
        <v/>
      </c>
      <c r="Q25" s="11">
        <f>IF($A25="","",IF(L25=0,0,L25/(C25*'Inputs'!$B$10)))</f>
        <v/>
      </c>
      <c r="R25" s="11">
        <f>IF($A25="","",IF(L25=0,0,L25/(C25*'Inputs'!$B$11)))</f>
        <v/>
      </c>
      <c r="S25" s="12">
        <f>IF($A25="","",IF(R25&lt;=0,0,1-R25/B25))</f>
        <v/>
      </c>
      <c r="T25" s="6">
        <f>IF($A25="","",IF(P25&gt;='Inputs'!$B$11,"LIQUIDATED",IF(P25&gt;='Inputs'!$B$10,"MARGIN CALL",IF(OR(P25&gt;='Inputs'!$B$23,S25&lt;'Inputs'!$B$12),"WARNING",IF(AND(G25&gt;0,I25=0),"FAILED",IF(I25&lt;G25,"CONSTRAINED","SAFE"))))))</f>
        <v/>
      </c>
    </row>
    <row r="26">
      <c r="A26" s="6">
        <f>'Price Projection'!A26</f>
        <v/>
      </c>
      <c r="B26" s="11">
        <f>IF($A26="","",'Price Projection'!B26)</f>
        <v/>
      </c>
      <c r="C26" s="13">
        <f>IF($A26="","",'Inputs'!$B$7)</f>
        <v/>
      </c>
      <c r="D26" s="11">
        <f>IF($A26="","",L25)</f>
        <v/>
      </c>
      <c r="E26" s="11">
        <f>IF($A26="","",D26*'Inputs'!$B$8)</f>
        <v/>
      </c>
      <c r="F26" s="11">
        <f>IF($A26="","",IF('Inputs'!$B$9="capitalized",D26+E26,D26))</f>
        <v/>
      </c>
      <c r="G26" s="11">
        <f>IF($A26="","",'Inputs'!$B$19)</f>
        <v/>
      </c>
      <c r="H26" s="11">
        <f>IF($A26="","",MAX(0,MIN(C26*B26*'Inputs'!$B$20,C26*B26*'Inputs'!$B$11*(1-'Inputs'!$B$12))-F26))</f>
        <v/>
      </c>
      <c r="I26" s="11">
        <f>IF($A26="","",IF(IF(C26*B26=0,0,F26/(C26*B26))&gt;='Inputs'!$B$10,0,MIN(G26,H26)))</f>
        <v/>
      </c>
      <c r="J26" s="11">
        <f>IF($A26="","",G26-I26)</f>
        <v/>
      </c>
      <c r="K26" s="11">
        <f>IF($A26="","",K25+I26)</f>
        <v/>
      </c>
      <c r="L26" s="11">
        <f>IF($A26="","",F26+I26)</f>
        <v/>
      </c>
      <c r="M26" s="13">
        <f>IF($A26="","",L26/B26)</f>
        <v/>
      </c>
      <c r="N26" s="13">
        <f>IF($A26="","",C26-M26)</f>
        <v/>
      </c>
      <c r="O26" s="11">
        <f>IF($A26="","",C26*B26-L26)</f>
        <v/>
      </c>
      <c r="P26" s="12">
        <f>IF($A26="","",IF(C26*B26=0,0,L26/(C26*B26)))</f>
        <v/>
      </c>
      <c r="Q26" s="11">
        <f>IF($A26="","",IF(L26=0,0,L26/(C26*'Inputs'!$B$10)))</f>
        <v/>
      </c>
      <c r="R26" s="11">
        <f>IF($A26="","",IF(L26=0,0,L26/(C26*'Inputs'!$B$11)))</f>
        <v/>
      </c>
      <c r="S26" s="12">
        <f>IF($A26="","",IF(R26&lt;=0,0,1-R26/B26))</f>
        <v/>
      </c>
      <c r="T26" s="6">
        <f>IF($A26="","",IF(P26&gt;='Inputs'!$B$11,"LIQUIDATED",IF(P26&gt;='Inputs'!$B$10,"MARGIN CALL",IF(OR(P26&gt;='Inputs'!$B$23,S26&lt;'Inputs'!$B$12),"WARNING",IF(AND(G26&gt;0,I26=0),"FAILED",IF(I26&lt;G26,"CONSTRAINED","SAFE"))))))</f>
        <v/>
      </c>
    </row>
    <row r="27">
      <c r="A27" s="6">
        <f>'Price Projection'!A27</f>
        <v/>
      </c>
      <c r="B27" s="11">
        <f>IF($A27="","",'Price Projection'!B27)</f>
        <v/>
      </c>
      <c r="C27" s="13">
        <f>IF($A27="","",'Inputs'!$B$7)</f>
        <v/>
      </c>
      <c r="D27" s="11">
        <f>IF($A27="","",L26)</f>
        <v/>
      </c>
      <c r="E27" s="11">
        <f>IF($A27="","",D27*'Inputs'!$B$8)</f>
        <v/>
      </c>
      <c r="F27" s="11">
        <f>IF($A27="","",IF('Inputs'!$B$9="capitalized",D27+E27,D27))</f>
        <v/>
      </c>
      <c r="G27" s="11">
        <f>IF($A27="","",'Inputs'!$B$19)</f>
        <v/>
      </c>
      <c r="H27" s="11">
        <f>IF($A27="","",MAX(0,MIN(C27*B27*'Inputs'!$B$20,C27*B27*'Inputs'!$B$11*(1-'Inputs'!$B$12))-F27))</f>
        <v/>
      </c>
      <c r="I27" s="11">
        <f>IF($A27="","",IF(IF(C27*B27=0,0,F27/(C27*B27))&gt;='Inputs'!$B$10,0,MIN(G27,H27)))</f>
        <v/>
      </c>
      <c r="J27" s="11">
        <f>IF($A27="","",G27-I27)</f>
        <v/>
      </c>
      <c r="K27" s="11">
        <f>IF($A27="","",K26+I27)</f>
        <v/>
      </c>
      <c r="L27" s="11">
        <f>IF($A27="","",F27+I27)</f>
        <v/>
      </c>
      <c r="M27" s="13">
        <f>IF($A27="","",L27/B27)</f>
        <v/>
      </c>
      <c r="N27" s="13">
        <f>IF($A27="","",C27-M27)</f>
        <v/>
      </c>
      <c r="O27" s="11">
        <f>IF($A27="","",C27*B27-L27)</f>
        <v/>
      </c>
      <c r="P27" s="12">
        <f>IF($A27="","",IF(C27*B27=0,0,L27/(C27*B27)))</f>
        <v/>
      </c>
      <c r="Q27" s="11">
        <f>IF($A27="","",IF(L27=0,0,L27/(C27*'Inputs'!$B$10)))</f>
        <v/>
      </c>
      <c r="R27" s="11">
        <f>IF($A27="","",IF(L27=0,0,L27/(C27*'Inputs'!$B$11)))</f>
        <v/>
      </c>
      <c r="S27" s="12">
        <f>IF($A27="","",IF(R27&lt;=0,0,1-R27/B27))</f>
        <v/>
      </c>
      <c r="T27" s="6">
        <f>IF($A27="","",IF(P27&gt;='Inputs'!$B$11,"LIQUIDATED",IF(P27&gt;='Inputs'!$B$10,"MARGIN CALL",IF(OR(P27&gt;='Inputs'!$B$23,S27&lt;'Inputs'!$B$12),"WARNING",IF(AND(G27&gt;0,I27=0),"FAILED",IF(I27&lt;G27,"CONSTRAINED","SAFE"))))))</f>
        <v/>
      </c>
    </row>
    <row r="28">
      <c r="A28" s="6">
        <f>'Price Projection'!A28</f>
        <v/>
      </c>
      <c r="B28" s="11">
        <f>IF($A28="","",'Price Projection'!B28)</f>
        <v/>
      </c>
      <c r="C28" s="13">
        <f>IF($A28="","",'Inputs'!$B$7)</f>
        <v/>
      </c>
      <c r="D28" s="11">
        <f>IF($A28="","",L27)</f>
        <v/>
      </c>
      <c r="E28" s="11">
        <f>IF($A28="","",D28*'Inputs'!$B$8)</f>
        <v/>
      </c>
      <c r="F28" s="11">
        <f>IF($A28="","",IF('Inputs'!$B$9="capitalized",D28+E28,D28))</f>
        <v/>
      </c>
      <c r="G28" s="11">
        <f>IF($A28="","",'Inputs'!$B$19)</f>
        <v/>
      </c>
      <c r="H28" s="11">
        <f>IF($A28="","",MAX(0,MIN(C28*B28*'Inputs'!$B$20,C28*B28*'Inputs'!$B$11*(1-'Inputs'!$B$12))-F28))</f>
        <v/>
      </c>
      <c r="I28" s="11">
        <f>IF($A28="","",IF(IF(C28*B28=0,0,F28/(C28*B28))&gt;='Inputs'!$B$10,0,MIN(G28,H28)))</f>
        <v/>
      </c>
      <c r="J28" s="11">
        <f>IF($A28="","",G28-I28)</f>
        <v/>
      </c>
      <c r="K28" s="11">
        <f>IF($A28="","",K27+I28)</f>
        <v/>
      </c>
      <c r="L28" s="11">
        <f>IF($A28="","",F28+I28)</f>
        <v/>
      </c>
      <c r="M28" s="13">
        <f>IF($A28="","",L28/B28)</f>
        <v/>
      </c>
      <c r="N28" s="13">
        <f>IF($A28="","",C28-M28)</f>
        <v/>
      </c>
      <c r="O28" s="11">
        <f>IF($A28="","",C28*B28-L28)</f>
        <v/>
      </c>
      <c r="P28" s="12">
        <f>IF($A28="","",IF(C28*B28=0,0,L28/(C28*B28)))</f>
        <v/>
      </c>
      <c r="Q28" s="11">
        <f>IF($A28="","",IF(L28=0,0,L28/(C28*'Inputs'!$B$10)))</f>
        <v/>
      </c>
      <c r="R28" s="11">
        <f>IF($A28="","",IF(L28=0,0,L28/(C28*'Inputs'!$B$11)))</f>
        <v/>
      </c>
      <c r="S28" s="12">
        <f>IF($A28="","",IF(R28&lt;=0,0,1-R28/B28))</f>
        <v/>
      </c>
      <c r="T28" s="6">
        <f>IF($A28="","",IF(P28&gt;='Inputs'!$B$11,"LIQUIDATED",IF(P28&gt;='Inputs'!$B$10,"MARGIN CALL",IF(OR(P28&gt;='Inputs'!$B$23,S28&lt;'Inputs'!$B$12),"WARNING",IF(AND(G28&gt;0,I28=0),"FAILED",IF(I28&lt;G28,"CONSTRAINED","SAFE"))))))</f>
        <v/>
      </c>
    </row>
    <row r="29">
      <c r="A29" s="6">
        <f>'Price Projection'!A29</f>
        <v/>
      </c>
      <c r="B29" s="11">
        <f>IF($A29="","",'Price Projection'!B29)</f>
        <v/>
      </c>
      <c r="C29" s="13">
        <f>IF($A29="","",'Inputs'!$B$7)</f>
        <v/>
      </c>
      <c r="D29" s="11">
        <f>IF($A29="","",L28)</f>
        <v/>
      </c>
      <c r="E29" s="11">
        <f>IF($A29="","",D29*'Inputs'!$B$8)</f>
        <v/>
      </c>
      <c r="F29" s="11">
        <f>IF($A29="","",IF('Inputs'!$B$9="capitalized",D29+E29,D29))</f>
        <v/>
      </c>
      <c r="G29" s="11">
        <f>IF($A29="","",'Inputs'!$B$19)</f>
        <v/>
      </c>
      <c r="H29" s="11">
        <f>IF($A29="","",MAX(0,MIN(C29*B29*'Inputs'!$B$20,C29*B29*'Inputs'!$B$11*(1-'Inputs'!$B$12))-F29))</f>
        <v/>
      </c>
      <c r="I29" s="11">
        <f>IF($A29="","",IF(IF(C29*B29=0,0,F29/(C29*B29))&gt;='Inputs'!$B$10,0,MIN(G29,H29)))</f>
        <v/>
      </c>
      <c r="J29" s="11">
        <f>IF($A29="","",G29-I29)</f>
        <v/>
      </c>
      <c r="K29" s="11">
        <f>IF($A29="","",K28+I29)</f>
        <v/>
      </c>
      <c r="L29" s="11">
        <f>IF($A29="","",F29+I29)</f>
        <v/>
      </c>
      <c r="M29" s="13">
        <f>IF($A29="","",L29/B29)</f>
        <v/>
      </c>
      <c r="N29" s="13">
        <f>IF($A29="","",C29-M29)</f>
        <v/>
      </c>
      <c r="O29" s="11">
        <f>IF($A29="","",C29*B29-L29)</f>
        <v/>
      </c>
      <c r="P29" s="12">
        <f>IF($A29="","",IF(C29*B29=0,0,L29/(C29*B29)))</f>
        <v/>
      </c>
      <c r="Q29" s="11">
        <f>IF($A29="","",IF(L29=0,0,L29/(C29*'Inputs'!$B$10)))</f>
        <v/>
      </c>
      <c r="R29" s="11">
        <f>IF($A29="","",IF(L29=0,0,L29/(C29*'Inputs'!$B$11)))</f>
        <v/>
      </c>
      <c r="S29" s="12">
        <f>IF($A29="","",IF(R29&lt;=0,0,1-R29/B29))</f>
        <v/>
      </c>
      <c r="T29" s="6">
        <f>IF($A29="","",IF(P29&gt;='Inputs'!$B$11,"LIQUIDATED",IF(P29&gt;='Inputs'!$B$10,"MARGIN CALL",IF(OR(P29&gt;='Inputs'!$B$23,S29&lt;'Inputs'!$B$12),"WARNING",IF(AND(G29&gt;0,I29=0),"FAILED",IF(I29&lt;G29,"CONSTRAINED","SAFE"))))))</f>
        <v/>
      </c>
    </row>
    <row r="30">
      <c r="A30" s="6">
        <f>'Price Projection'!A30</f>
        <v/>
      </c>
      <c r="B30" s="11">
        <f>IF($A30="","",'Price Projection'!B30)</f>
        <v/>
      </c>
      <c r="C30" s="13">
        <f>IF($A30="","",'Inputs'!$B$7)</f>
        <v/>
      </c>
      <c r="D30" s="11">
        <f>IF($A30="","",L29)</f>
        <v/>
      </c>
      <c r="E30" s="11">
        <f>IF($A30="","",D30*'Inputs'!$B$8)</f>
        <v/>
      </c>
      <c r="F30" s="11">
        <f>IF($A30="","",IF('Inputs'!$B$9="capitalized",D30+E30,D30))</f>
        <v/>
      </c>
      <c r="G30" s="11">
        <f>IF($A30="","",'Inputs'!$B$19)</f>
        <v/>
      </c>
      <c r="H30" s="11">
        <f>IF($A30="","",MAX(0,MIN(C30*B30*'Inputs'!$B$20,C30*B30*'Inputs'!$B$11*(1-'Inputs'!$B$12))-F30))</f>
        <v/>
      </c>
      <c r="I30" s="11">
        <f>IF($A30="","",IF(IF(C30*B30=0,0,F30/(C30*B30))&gt;='Inputs'!$B$10,0,MIN(G30,H30)))</f>
        <v/>
      </c>
      <c r="J30" s="11">
        <f>IF($A30="","",G30-I30)</f>
        <v/>
      </c>
      <c r="K30" s="11">
        <f>IF($A30="","",K29+I30)</f>
        <v/>
      </c>
      <c r="L30" s="11">
        <f>IF($A30="","",F30+I30)</f>
        <v/>
      </c>
      <c r="M30" s="13">
        <f>IF($A30="","",L30/B30)</f>
        <v/>
      </c>
      <c r="N30" s="13">
        <f>IF($A30="","",C30-M30)</f>
        <v/>
      </c>
      <c r="O30" s="11">
        <f>IF($A30="","",C30*B30-L30)</f>
        <v/>
      </c>
      <c r="P30" s="12">
        <f>IF($A30="","",IF(C30*B30=0,0,L30/(C30*B30)))</f>
        <v/>
      </c>
      <c r="Q30" s="11">
        <f>IF($A30="","",IF(L30=0,0,L30/(C30*'Inputs'!$B$10)))</f>
        <v/>
      </c>
      <c r="R30" s="11">
        <f>IF($A30="","",IF(L30=0,0,L30/(C30*'Inputs'!$B$11)))</f>
        <v/>
      </c>
      <c r="S30" s="12">
        <f>IF($A30="","",IF(R30&lt;=0,0,1-R30/B30))</f>
        <v/>
      </c>
      <c r="T30" s="6">
        <f>IF($A30="","",IF(P30&gt;='Inputs'!$B$11,"LIQUIDATED",IF(P30&gt;='Inputs'!$B$10,"MARGIN CALL",IF(OR(P30&gt;='Inputs'!$B$23,S30&lt;'Inputs'!$B$12),"WARNING",IF(AND(G30&gt;0,I30=0),"FAILED",IF(I30&lt;G30,"CONSTRAINED","SAFE"))))))</f>
        <v/>
      </c>
    </row>
    <row r="31">
      <c r="A31" s="6">
        <f>'Price Projection'!A31</f>
        <v/>
      </c>
      <c r="B31" s="11">
        <f>IF($A31="","",'Price Projection'!B31)</f>
        <v/>
      </c>
      <c r="C31" s="13">
        <f>IF($A31="","",'Inputs'!$B$7)</f>
        <v/>
      </c>
      <c r="D31" s="11">
        <f>IF($A31="","",L30)</f>
        <v/>
      </c>
      <c r="E31" s="11">
        <f>IF($A31="","",D31*'Inputs'!$B$8)</f>
        <v/>
      </c>
      <c r="F31" s="11">
        <f>IF($A31="","",IF('Inputs'!$B$9="capitalized",D31+E31,D31))</f>
        <v/>
      </c>
      <c r="G31" s="11">
        <f>IF($A31="","",'Inputs'!$B$19)</f>
        <v/>
      </c>
      <c r="H31" s="11">
        <f>IF($A31="","",MAX(0,MIN(C31*B31*'Inputs'!$B$20,C31*B31*'Inputs'!$B$11*(1-'Inputs'!$B$12))-F31))</f>
        <v/>
      </c>
      <c r="I31" s="11">
        <f>IF($A31="","",IF(IF(C31*B31=0,0,F31/(C31*B31))&gt;='Inputs'!$B$10,0,MIN(G31,H31)))</f>
        <v/>
      </c>
      <c r="J31" s="11">
        <f>IF($A31="","",G31-I31)</f>
        <v/>
      </c>
      <c r="K31" s="11">
        <f>IF($A31="","",K30+I31)</f>
        <v/>
      </c>
      <c r="L31" s="11">
        <f>IF($A31="","",F31+I31)</f>
        <v/>
      </c>
      <c r="M31" s="13">
        <f>IF($A31="","",L31/B31)</f>
        <v/>
      </c>
      <c r="N31" s="13">
        <f>IF($A31="","",C31-M31)</f>
        <v/>
      </c>
      <c r="O31" s="11">
        <f>IF($A31="","",C31*B31-L31)</f>
        <v/>
      </c>
      <c r="P31" s="12">
        <f>IF($A31="","",IF(C31*B31=0,0,L31/(C31*B31)))</f>
        <v/>
      </c>
      <c r="Q31" s="11">
        <f>IF($A31="","",IF(L31=0,0,L31/(C31*'Inputs'!$B$10)))</f>
        <v/>
      </c>
      <c r="R31" s="11">
        <f>IF($A31="","",IF(L31=0,0,L31/(C31*'Inputs'!$B$11)))</f>
        <v/>
      </c>
      <c r="S31" s="12">
        <f>IF($A31="","",IF(R31&lt;=0,0,1-R31/B31))</f>
        <v/>
      </c>
      <c r="T31" s="6">
        <f>IF($A31="","",IF(P31&gt;='Inputs'!$B$11,"LIQUIDATED",IF(P31&gt;='Inputs'!$B$10,"MARGIN CALL",IF(OR(P31&gt;='Inputs'!$B$23,S31&lt;'Inputs'!$B$12),"WARNING",IF(AND(G31&gt;0,I31=0),"FAILED",IF(I31&lt;G31,"CONSTRAINED","SAFE"))))))</f>
        <v/>
      </c>
    </row>
    <row r="32">
      <c r="A32" s="6">
        <f>'Price Projection'!A32</f>
        <v/>
      </c>
      <c r="B32" s="11">
        <f>IF($A32="","",'Price Projection'!B32)</f>
        <v/>
      </c>
      <c r="C32" s="13">
        <f>IF($A32="","",'Inputs'!$B$7)</f>
        <v/>
      </c>
      <c r="D32" s="11">
        <f>IF($A32="","",L31)</f>
        <v/>
      </c>
      <c r="E32" s="11">
        <f>IF($A32="","",D32*'Inputs'!$B$8)</f>
        <v/>
      </c>
      <c r="F32" s="11">
        <f>IF($A32="","",IF('Inputs'!$B$9="capitalized",D32+E32,D32))</f>
        <v/>
      </c>
      <c r="G32" s="11">
        <f>IF($A32="","",'Inputs'!$B$19)</f>
        <v/>
      </c>
      <c r="H32" s="11">
        <f>IF($A32="","",MAX(0,MIN(C32*B32*'Inputs'!$B$20,C32*B32*'Inputs'!$B$11*(1-'Inputs'!$B$12))-F32))</f>
        <v/>
      </c>
      <c r="I32" s="11">
        <f>IF($A32="","",IF(IF(C32*B32=0,0,F32/(C32*B32))&gt;='Inputs'!$B$10,0,MIN(G32,H32)))</f>
        <v/>
      </c>
      <c r="J32" s="11">
        <f>IF($A32="","",G32-I32)</f>
        <v/>
      </c>
      <c r="K32" s="11">
        <f>IF($A32="","",K31+I32)</f>
        <v/>
      </c>
      <c r="L32" s="11">
        <f>IF($A32="","",F32+I32)</f>
        <v/>
      </c>
      <c r="M32" s="13">
        <f>IF($A32="","",L32/B32)</f>
        <v/>
      </c>
      <c r="N32" s="13">
        <f>IF($A32="","",C32-M32)</f>
        <v/>
      </c>
      <c r="O32" s="11">
        <f>IF($A32="","",C32*B32-L32)</f>
        <v/>
      </c>
      <c r="P32" s="12">
        <f>IF($A32="","",IF(C32*B32=0,0,L32/(C32*B32)))</f>
        <v/>
      </c>
      <c r="Q32" s="11">
        <f>IF($A32="","",IF(L32=0,0,L32/(C32*'Inputs'!$B$10)))</f>
        <v/>
      </c>
      <c r="R32" s="11">
        <f>IF($A32="","",IF(L32=0,0,L32/(C32*'Inputs'!$B$11)))</f>
        <v/>
      </c>
      <c r="S32" s="12">
        <f>IF($A32="","",IF(R32&lt;=0,0,1-R32/B32))</f>
        <v/>
      </c>
      <c r="T32" s="6">
        <f>IF($A32="","",IF(P32&gt;='Inputs'!$B$11,"LIQUIDATED",IF(P32&gt;='Inputs'!$B$10,"MARGIN CALL",IF(OR(P32&gt;='Inputs'!$B$23,S32&lt;'Inputs'!$B$12),"WARNING",IF(AND(G32&gt;0,I32=0),"FAILED",IF(I32&lt;G32,"CONSTRAINED","SAFE"))))))</f>
        <v/>
      </c>
    </row>
    <row r="33">
      <c r="A33" s="6">
        <f>'Price Projection'!A33</f>
        <v/>
      </c>
      <c r="B33" s="11">
        <f>IF($A33="","",'Price Projection'!B33)</f>
        <v/>
      </c>
      <c r="C33" s="13">
        <f>IF($A33="","",'Inputs'!$B$7)</f>
        <v/>
      </c>
      <c r="D33" s="11">
        <f>IF($A33="","",L32)</f>
        <v/>
      </c>
      <c r="E33" s="11">
        <f>IF($A33="","",D33*'Inputs'!$B$8)</f>
        <v/>
      </c>
      <c r="F33" s="11">
        <f>IF($A33="","",IF('Inputs'!$B$9="capitalized",D33+E33,D33))</f>
        <v/>
      </c>
      <c r="G33" s="11">
        <f>IF($A33="","",'Inputs'!$B$19)</f>
        <v/>
      </c>
      <c r="H33" s="11">
        <f>IF($A33="","",MAX(0,MIN(C33*B33*'Inputs'!$B$20,C33*B33*'Inputs'!$B$11*(1-'Inputs'!$B$12))-F33))</f>
        <v/>
      </c>
      <c r="I33" s="11">
        <f>IF($A33="","",IF(IF(C33*B33=0,0,F33/(C33*B33))&gt;='Inputs'!$B$10,0,MIN(G33,H33)))</f>
        <v/>
      </c>
      <c r="J33" s="11">
        <f>IF($A33="","",G33-I33)</f>
        <v/>
      </c>
      <c r="K33" s="11">
        <f>IF($A33="","",K32+I33)</f>
        <v/>
      </c>
      <c r="L33" s="11">
        <f>IF($A33="","",F33+I33)</f>
        <v/>
      </c>
      <c r="M33" s="13">
        <f>IF($A33="","",L33/B33)</f>
        <v/>
      </c>
      <c r="N33" s="13">
        <f>IF($A33="","",C33-M33)</f>
        <v/>
      </c>
      <c r="O33" s="11">
        <f>IF($A33="","",C33*B33-L33)</f>
        <v/>
      </c>
      <c r="P33" s="12">
        <f>IF($A33="","",IF(C33*B33=0,0,L33/(C33*B33)))</f>
        <v/>
      </c>
      <c r="Q33" s="11">
        <f>IF($A33="","",IF(L33=0,0,L33/(C33*'Inputs'!$B$10)))</f>
        <v/>
      </c>
      <c r="R33" s="11">
        <f>IF($A33="","",IF(L33=0,0,L33/(C33*'Inputs'!$B$11)))</f>
        <v/>
      </c>
      <c r="S33" s="12">
        <f>IF($A33="","",IF(R33&lt;=0,0,1-R33/B33))</f>
        <v/>
      </c>
      <c r="T33" s="6">
        <f>IF($A33="","",IF(P33&gt;='Inputs'!$B$11,"LIQUIDATED",IF(P33&gt;='Inputs'!$B$10,"MARGIN CALL",IF(OR(P33&gt;='Inputs'!$B$23,S33&lt;'Inputs'!$B$12),"WARNING",IF(AND(G33&gt;0,I33=0),"FAILED",IF(I33&lt;G33,"CONSTRAINED","SAFE"))))))</f>
        <v/>
      </c>
    </row>
    <row r="34">
      <c r="A34" s="6">
        <f>'Price Projection'!A34</f>
        <v/>
      </c>
      <c r="B34" s="11">
        <f>IF($A34="","",'Price Projection'!B34)</f>
        <v/>
      </c>
      <c r="C34" s="13">
        <f>IF($A34="","",'Inputs'!$B$7)</f>
        <v/>
      </c>
      <c r="D34" s="11">
        <f>IF($A34="","",L33)</f>
        <v/>
      </c>
      <c r="E34" s="11">
        <f>IF($A34="","",D34*'Inputs'!$B$8)</f>
        <v/>
      </c>
      <c r="F34" s="11">
        <f>IF($A34="","",IF('Inputs'!$B$9="capitalized",D34+E34,D34))</f>
        <v/>
      </c>
      <c r="G34" s="11">
        <f>IF($A34="","",'Inputs'!$B$19)</f>
        <v/>
      </c>
      <c r="H34" s="11">
        <f>IF($A34="","",MAX(0,MIN(C34*B34*'Inputs'!$B$20,C34*B34*'Inputs'!$B$11*(1-'Inputs'!$B$12))-F34))</f>
        <v/>
      </c>
      <c r="I34" s="11">
        <f>IF($A34="","",IF(IF(C34*B34=0,0,F34/(C34*B34))&gt;='Inputs'!$B$10,0,MIN(G34,H34)))</f>
        <v/>
      </c>
      <c r="J34" s="11">
        <f>IF($A34="","",G34-I34)</f>
        <v/>
      </c>
      <c r="K34" s="11">
        <f>IF($A34="","",K33+I34)</f>
        <v/>
      </c>
      <c r="L34" s="11">
        <f>IF($A34="","",F34+I34)</f>
        <v/>
      </c>
      <c r="M34" s="13">
        <f>IF($A34="","",L34/B34)</f>
        <v/>
      </c>
      <c r="N34" s="13">
        <f>IF($A34="","",C34-M34)</f>
        <v/>
      </c>
      <c r="O34" s="11">
        <f>IF($A34="","",C34*B34-L34)</f>
        <v/>
      </c>
      <c r="P34" s="12">
        <f>IF($A34="","",IF(C34*B34=0,0,L34/(C34*B34)))</f>
        <v/>
      </c>
      <c r="Q34" s="11">
        <f>IF($A34="","",IF(L34=0,0,L34/(C34*'Inputs'!$B$10)))</f>
        <v/>
      </c>
      <c r="R34" s="11">
        <f>IF($A34="","",IF(L34=0,0,L34/(C34*'Inputs'!$B$11)))</f>
        <v/>
      </c>
      <c r="S34" s="12">
        <f>IF($A34="","",IF(R34&lt;=0,0,1-R34/B34))</f>
        <v/>
      </c>
      <c r="T34" s="6">
        <f>IF($A34="","",IF(P34&gt;='Inputs'!$B$11,"LIQUIDATED",IF(P34&gt;='Inputs'!$B$10,"MARGIN CALL",IF(OR(P34&gt;='Inputs'!$B$23,S34&lt;'Inputs'!$B$12),"WARNING",IF(AND(G34&gt;0,I34=0),"FAILED",IF(I34&lt;G34,"CONSTRAINED","SAFE"))))))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Risk Alerts</t>
        </is>
      </c>
    </row>
    <row r="2"/>
    <row r="3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Accumulation risk path</t>
        </is>
      </c>
    </row>
    <row r="5">
      <c r="A5" s="7" t="inlineStr">
        <is>
          <t>Accumulation max effective LTV</t>
        </is>
      </c>
      <c r="B5" s="12">
        <f>MAX('Accumulation Engine'!Q4:Q34)</f>
        <v/>
      </c>
    </row>
    <row r="6">
      <c r="A6" s="7" t="inlineStr">
        <is>
          <t>Accumulation min drop-to-liquidation</t>
        </is>
      </c>
      <c r="B6" s="12">
        <f>MIN('Accumulation Engine'!U4:U34)</f>
        <v/>
      </c>
    </row>
    <row r="7">
      <c r="A7" s="7" t="inlineStr">
        <is>
          <t>Accumulation first non-safe year</t>
        </is>
      </c>
      <c r="B7" s="6">
        <f>IF(COUNTIFS('Accumulation Engine'!$V$4:$V$34,"&lt;&gt;SAFE",'Accumulation Engine'!$V$4:$V$34,"&lt;&gt;")=0,"None",INDEX('Accumulation Engine'!$A$4:$A$34,AGGREGATE(15,6,(ROW('Accumulation Engine'!$V$4:$V$34)-ROW('Accumulation Engine'!$V$4)+1)/(('Accumulation Engine'!$V$4:$V$34&lt;&gt;"SAFE")*('Accumulation Engine'!$V$4:$V$34&lt;&gt;"")),1)))</f>
        <v/>
      </c>
    </row>
    <row r="8">
      <c r="A8" s="7" t="inlineStr">
        <is>
          <t>Accumulation liquidation year</t>
        </is>
      </c>
      <c r="B8" s="6">
        <f>IFERROR(INDEX('Accumulation Engine'!$A$4:$A$34,MATCH("LIQUIDATED",'Accumulation Engine'!$V$4:$V$34,0)),"None")</f>
        <v/>
      </c>
    </row>
    <row r="9">
      <c r="A9" s="7" t="inlineStr">
        <is>
          <t>Accumulation total interest accrued</t>
        </is>
      </c>
      <c r="B9" s="11">
        <f>SUM('Accumulation Engine'!E4:E34)</f>
        <v/>
      </c>
    </row>
    <row r="10">
      <c r="A10" s="7" t="inlineStr">
        <is>
          <t>Accumulation total new borrowing</t>
        </is>
      </c>
      <c r="B10" s="11">
        <f>SUM('Accumulation Engine'!H4:H34)</f>
        <v/>
      </c>
    </row>
    <row r="11">
      <c r="A11" s="7" t="inlineStr">
        <is>
          <t>Accumulation ending net BTC</t>
        </is>
      </c>
      <c r="B11" s="13">
        <f>LOOKUP(2,1/('Accumulation Engine'!$A$4:$A$34&lt;&gt;""),'Accumulation Engine'!$N$4:$N$34)</f>
        <v/>
      </c>
    </row>
    <row r="12">
      <c r="A12" s="7" t="inlineStr">
        <is>
          <t>Accumulation BTC outperformance vs passive</t>
        </is>
      </c>
      <c r="B12" s="13">
        <f>LOOKUP(2,1/('Accumulation Engine'!$A$4:$A$34&lt;&gt;""),'Accumulation Engine'!$N$4:$N$34)-'Inputs'!$B$7</f>
        <v/>
      </c>
    </row>
    <row r="13">
      <c r="A13" s="3" t="inlineStr">
        <is>
          <t>Income risk path</t>
        </is>
      </c>
    </row>
    <row r="14">
      <c r="A14" s="7" t="inlineStr">
        <is>
          <t>Income max effective LTV</t>
        </is>
      </c>
      <c r="B14" s="12">
        <f>MAX('Income Engine'!P4:P34)</f>
        <v/>
      </c>
    </row>
    <row r="15">
      <c r="A15" s="7" t="inlineStr">
        <is>
          <t>Income min drop-to-liquidation</t>
        </is>
      </c>
      <c r="B15" s="12">
        <f>MIN('Income Engine'!S4:S34)</f>
        <v/>
      </c>
    </row>
    <row r="16">
      <c r="A16" s="7" t="inlineStr">
        <is>
          <t>Income first constrained year</t>
        </is>
      </c>
      <c r="B16" s="6">
        <f>IFERROR(INDEX('Income Engine'!$A$4:$A$34,MATCH("CONSTRAINED",'Income Engine'!$T$4:$T$34,0)),"None")</f>
        <v/>
      </c>
    </row>
    <row r="17">
      <c r="A17" s="7" t="inlineStr">
        <is>
          <t>Income liquidation year</t>
        </is>
      </c>
      <c r="B17" s="6">
        <f>IFERROR(INDEX('Income Engine'!$A$4:$A$34,MATCH("LIQUIDATED",'Income Engine'!$T$4:$T$34,0)),"None")</f>
        <v/>
      </c>
    </row>
    <row r="18">
      <c r="A18" s="7" t="inlineStr">
        <is>
          <t>Income total interest accrued</t>
        </is>
      </c>
      <c r="B18" s="11">
        <f>SUM('Income Engine'!E4:E34)</f>
        <v/>
      </c>
    </row>
    <row r="19">
      <c r="A19" s="7" t="inlineStr">
        <is>
          <t>Income total funded</t>
        </is>
      </c>
      <c r="B19" s="11">
        <f>SUM('Income Engine'!I4:I34)</f>
        <v/>
      </c>
    </row>
    <row r="20">
      <c r="A20" s="7" t="inlineStr">
        <is>
          <t>Income total shortfall</t>
        </is>
      </c>
      <c r="B20" s="11">
        <f>SUM('Income Engine'!J4:J34)</f>
        <v/>
      </c>
    </row>
    <row r="21">
      <c r="A21" s="3" t="inlineStr">
        <is>
          <t>Passive hold comparison</t>
        </is>
      </c>
    </row>
    <row r="22">
      <c r="A22" s="7" t="inlineStr">
        <is>
          <t>Passive BTC held</t>
        </is>
      </c>
      <c r="B22" s="13">
        <f>'Inputs'!$B$7</f>
        <v/>
      </c>
    </row>
    <row r="23">
      <c r="A23" s="7" t="inlineStr">
        <is>
          <t>Passive ending value</t>
        </is>
      </c>
      <c r="B23" s="11">
        <f>'Inputs'!$B$7*LOOKUP(2,1/('Price Projection'!$A$4:$A$34&lt;&gt;""),'Price Projection'!$B$4:$B$34)</f>
        <v/>
      </c>
    </row>
  </sheetData>
  <mergeCells count="4">
    <mergeCell ref="A4:B4"/>
    <mergeCell ref="A13:B13"/>
    <mergeCell ref="A21:B21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BTC-Backed Loan Model v2 Summary</t>
        </is>
      </c>
    </row>
    <row r="2"/>
    <row r="3">
      <c r="A3" s="2" t="inlineStr">
        <is>
          <t>Metric</t>
        </is>
      </c>
      <c r="B3" s="2" t="inlineStr">
        <is>
          <t>Value</t>
        </is>
      </c>
    </row>
    <row r="4">
      <c r="A4" s="7" t="inlineStr">
        <is>
          <t>Passive starting BTC</t>
        </is>
      </c>
      <c r="B4" s="13">
        <f>'Inputs'!$B$7</f>
        <v/>
      </c>
    </row>
    <row r="5">
      <c r="A5" s="7" t="inlineStr">
        <is>
          <t>Passive ending BTC</t>
        </is>
      </c>
      <c r="B5" s="13">
        <f>'Inputs'!$B$7</f>
        <v/>
      </c>
    </row>
    <row r="6">
      <c r="A6" s="7" t="inlineStr">
        <is>
          <t>Passive ending value</t>
        </is>
      </c>
      <c r="B6" s="11">
        <f>'Inputs'!$B$7*LOOKUP(2,1/('Price Projection'!$A$4:$A$34&lt;&gt;""),'Price Projection'!$B$4:$B$34)</f>
        <v/>
      </c>
    </row>
    <row r="7">
      <c r="A7" s="7" t="inlineStr">
        <is>
          <t>Accumulation setup gross BTC</t>
        </is>
      </c>
      <c r="B7" s="13">
        <f>'Accumulation Engine'!J4</f>
        <v/>
      </c>
    </row>
    <row r="8">
      <c r="A8" s="7" t="inlineStr">
        <is>
          <t>Accumulation ending gross BTC</t>
        </is>
      </c>
      <c r="B8" s="13">
        <f>LOOKUP(2,1/('Accumulation Engine'!$A$4:$A$34&lt;&gt;""),'Accumulation Engine'!$J$4:$J$34)</f>
        <v/>
      </c>
    </row>
    <row r="9">
      <c r="A9" s="7" t="inlineStr">
        <is>
          <t>Accumulation ending debt</t>
        </is>
      </c>
      <c r="B9" s="11">
        <f>LOOKUP(2,1/('Accumulation Engine'!$A$4:$A$34&lt;&gt;""),'Accumulation Engine'!$K$4:$K$34)</f>
        <v/>
      </c>
    </row>
    <row r="10">
      <c r="A10" s="7" t="inlineStr">
        <is>
          <t>Accumulation ending net BTC</t>
        </is>
      </c>
      <c r="B10" s="13">
        <f>LOOKUP(2,1/('Accumulation Engine'!$A$4:$A$34&lt;&gt;""),'Accumulation Engine'!$N$4:$N$34)</f>
        <v/>
      </c>
    </row>
    <row r="11">
      <c r="A11" s="7" t="inlineStr">
        <is>
          <t>Accumulation ending LTV</t>
        </is>
      </c>
      <c r="B11" s="12">
        <f>LOOKUP(2,1/('Accumulation Engine'!$A$4:$A$34&lt;&gt;""),'Accumulation Engine'!$Q$4:$Q$34)</f>
        <v/>
      </c>
    </row>
    <row r="12">
      <c r="A12" s="7" t="inlineStr">
        <is>
          <t>Accumulation status</t>
        </is>
      </c>
      <c r="B12" s="6">
        <f>LOOKUP(2,1/('Accumulation Engine'!$A$4:$A$34&lt;&gt;""),'Accumulation Engine'!$V$4:$V$34)</f>
        <v/>
      </c>
    </row>
    <row r="13">
      <c r="A13" s="7" t="inlineStr">
        <is>
          <t>Income selected draw year 1</t>
        </is>
      </c>
      <c r="B13" s="11">
        <f>'Inputs'!$B$19</f>
        <v/>
      </c>
    </row>
    <row r="14">
      <c r="A14" s="7" t="inlineStr">
        <is>
          <t>Income funded year 1</t>
        </is>
      </c>
      <c r="B14" s="11">
        <f>'Income Engine'!I5</f>
        <v/>
      </c>
    </row>
    <row r="15">
      <c r="A15" s="7" t="inlineStr">
        <is>
          <t>Income shortfall year 1</t>
        </is>
      </c>
      <c r="B15" s="11">
        <f>'Income Engine'!J5</f>
        <v/>
      </c>
    </row>
    <row r="16">
      <c r="A16" s="7" t="inlineStr">
        <is>
          <t>Income ending debt</t>
        </is>
      </c>
      <c r="B16" s="11">
        <f>LOOKUP(2,1/('Income Engine'!$A$4:$A$34&lt;&gt;""),'Income Engine'!$L$4:$L$34)</f>
        <v/>
      </c>
    </row>
    <row r="17">
      <c r="A17" s="7" t="inlineStr">
        <is>
          <t>Income ending net BTC</t>
        </is>
      </c>
      <c r="B17" s="13">
        <f>LOOKUP(2,1/('Income Engine'!$A$4:$A$34&lt;&gt;""),'Income Engine'!$N$4:$N$34)</f>
        <v/>
      </c>
    </row>
    <row r="18">
      <c r="A18" s="7" t="inlineStr">
        <is>
          <t>Income status</t>
        </is>
      </c>
      <c r="B18" s="6">
        <f>LOOKUP(2,1/('Income Engine'!$A$4:$A$34&lt;&gt;""),'Income Engine'!$T$4:$T$34)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Audit Examples</t>
        </is>
      </c>
    </row>
    <row r="2"/>
    <row r="3">
      <c r="A3" s="2" t="inlineStr">
        <is>
          <t>Audit Check</t>
        </is>
      </c>
      <c r="B3" s="2" t="inlineStr">
        <is>
          <t>Expected / Model Value</t>
        </is>
      </c>
    </row>
    <row r="4">
      <c r="A4" s="7" t="inlineStr">
        <is>
          <t>Starting BTC</t>
        </is>
      </c>
      <c r="B4" s="13" t="n">
        <v>2</v>
      </c>
    </row>
    <row r="5">
      <c r="A5" s="7" t="inlineStr">
        <is>
          <t>Target effective LTV</t>
        </is>
      </c>
      <c r="B5" s="12" t="n">
        <v>0.25</v>
      </c>
    </row>
    <row r="6">
      <c r="A6" s="7" t="inlineStr">
        <is>
          <t>Final collateral BTC</t>
        </is>
      </c>
      <c r="B6" s="13" t="n">
        <v>2.666666666666667</v>
      </c>
    </row>
    <row r="7">
      <c r="A7" s="7" t="inlineStr">
        <is>
          <t>BTC purchased</t>
        </is>
      </c>
      <c r="B7" s="13" t="n">
        <v>0.6666666666666665</v>
      </c>
    </row>
    <row r="8">
      <c r="A8" s="7" t="inlineStr">
        <is>
          <t>Debt</t>
        </is>
      </c>
      <c r="B8" s="11" t="n">
        <v>40000</v>
      </c>
    </row>
    <row r="9">
      <c r="A9" s="7" t="inlineStr">
        <is>
          <t>Effective LTV</t>
        </is>
      </c>
      <c r="B9" s="12" t="n">
        <v>0.25</v>
      </c>
    </row>
    <row r="10">
      <c r="A10" s="7" t="inlineStr">
        <is>
          <t>Liquidation price</t>
        </is>
      </c>
      <c r="B10" s="11" t="n">
        <v>20000</v>
      </c>
    </row>
    <row r="11"/>
    <row r="12"/>
    <row r="13">
      <c r="A13" s="3" t="inlineStr">
        <is>
          <t>Double-loop / 30.6% effective LTV example</t>
        </is>
      </c>
    </row>
    <row r="14">
      <c r="A14" s="7" t="inlineStr">
        <is>
          <t>Starting BTC</t>
        </is>
      </c>
      <c r="B14" s="13" t="n">
        <v>2</v>
      </c>
    </row>
    <row r="15">
      <c r="A15" s="7" t="inlineStr">
        <is>
          <t>BTC price</t>
        </is>
      </c>
      <c r="B15" s="11" t="n">
        <v>60000</v>
      </c>
    </row>
    <row r="16">
      <c r="A16" s="7" t="inlineStr">
        <is>
          <t>Gross BTC ≈</t>
        </is>
      </c>
      <c r="B16" s="13" t="n">
        <v>2.883</v>
      </c>
    </row>
    <row r="17">
      <c r="A17" s="7" t="inlineStr">
        <is>
          <t>Effective LTV ≈</t>
        </is>
      </c>
      <c r="B17" s="12" t="n">
        <v>0.306</v>
      </c>
    </row>
    <row r="18">
      <c r="A18" s="7" t="inlineStr">
        <is>
          <t>Debt ≈</t>
        </is>
      </c>
      <c r="B18" s="11" t="n">
        <v>53000</v>
      </c>
    </row>
    <row r="19"/>
    <row r="20">
      <c r="A20" s="3" t="inlineStr">
        <is>
          <t>Income capacity example</t>
        </is>
      </c>
    </row>
    <row r="21">
      <c r="A21" s="7" t="inlineStr">
        <is>
          <t>Collateral BTC</t>
        </is>
      </c>
      <c r="B21" s="13" t="n">
        <v>2</v>
      </c>
    </row>
    <row r="22">
      <c r="A22" s="7" t="inlineStr">
        <is>
          <t>BTC price</t>
        </is>
      </c>
      <c r="B22" s="11" t="n">
        <v>100000</v>
      </c>
    </row>
    <row r="23">
      <c r="A23" s="7" t="inlineStr">
        <is>
          <t>Existing debt</t>
        </is>
      </c>
      <c r="B23" s="11" t="n">
        <v>30000</v>
      </c>
    </row>
    <row r="24">
      <c r="A24" s="7" t="inlineStr">
        <is>
          <t>Income LTV ceiling</t>
        </is>
      </c>
      <c r="B24" s="12" t="n">
        <v>0.35</v>
      </c>
    </row>
    <row r="25">
      <c r="A25" s="7" t="inlineStr">
        <is>
          <t>Selected income draw</t>
        </is>
      </c>
      <c r="B25" s="11" t="n">
        <v>50000</v>
      </c>
    </row>
    <row r="26">
      <c r="A26" s="7" t="inlineStr">
        <is>
          <t>Max safe debt</t>
        </is>
      </c>
      <c r="B26" s="11" t="n">
        <v>70000</v>
      </c>
    </row>
    <row r="27">
      <c r="A27" s="7" t="inlineStr">
        <is>
          <t>Income borrowed</t>
        </is>
      </c>
      <c r="B27" s="11" t="n">
        <v>40000</v>
      </c>
    </row>
    <row r="28">
      <c r="A28" s="7" t="inlineStr">
        <is>
          <t>Unfunded income</t>
        </is>
      </c>
      <c r="B28" s="11" t="n">
        <v>10000</v>
      </c>
    </row>
    <row r="29">
      <c r="A29" s="7" t="inlineStr">
        <is>
          <t>Debt end</t>
        </is>
      </c>
      <c r="B29" s="11" t="n">
        <v>70000</v>
      </c>
    </row>
  </sheetData>
  <mergeCells count="3">
    <mergeCell ref="A13:B13"/>
    <mergeCell ref="A20:B20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2026-05-29T14:55:49Z</dcterms:created>
  <dcterms:modified xsi:type="dcterms:W3CDTF">2026-05-29T14:55:49Z</dcterms:modified>
</cp:coreProperties>
</file>